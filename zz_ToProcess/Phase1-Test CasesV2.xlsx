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updateLinks="always" defaultThemeVersion="166925"/>
  <xr:revisionPtr revIDLastSave="0" documentId="8_{CA484D07-E506-4007-A602-BB638720C74B}" xr6:coauthVersionLast="47" xr6:coauthVersionMax="47" xr10:uidLastSave="{00000000-0000-0000-0000-000000000000}"/>
  <bookViews>
    <workbookView xWindow="240" yWindow="105" windowWidth="14805" windowHeight="8010" firstSheet="6" activeTab="1" xr2:uid="{00000000-000D-0000-FFFF-FFFF00000000}"/>
  </bookViews>
  <sheets>
    <sheet name="README" sheetId="1" r:id="rId1"/>
    <sheet name="Coaching log" sheetId="2" r:id="rId2"/>
    <sheet name="Attendance" sheetId="3" r:id="rId3"/>
    <sheet name="Budget" sheetId="4" r:id="rId4"/>
    <sheet name="Incident" sheetId="9" r:id="rId5"/>
    <sheet name="Checlklist-&amp;Template" sheetId="16" r:id="rId6"/>
    <sheet name="QA Test Summary" sheetId="5" r:id="rId7"/>
    <sheet name="Seats &amp; Capacity" sheetId="6" r:id="rId8"/>
    <sheet name="Enrollment" sheetId="12" r:id="rId9"/>
    <sheet name="Screening" sheetId="7" r:id="rId10"/>
    <sheet name="E2E" sheetId="11" r:id="rId11"/>
    <sheet name="Defect Dashboard" sheetId="13" r:id="rId12"/>
    <sheet name="Invoice" sheetId="14" r:id="rId13"/>
    <sheet name="Regression" sheetId="10" r:id="rId14"/>
    <sheet name="Defect RETEST" sheetId="8" r:id="rId15"/>
    <sheet name="Team Tasks" sheetId="18" r:id="rId16"/>
  </sheets>
  <externalReferences>
    <externalReference r:id="rId17"/>
  </externalReferences>
  <definedNames>
    <definedName name="_xlnm._FilterDatabase" localSheetId="2" hidden="1">Attendance!$L$1:$L$96</definedName>
    <definedName name="_xlnm._FilterDatabase" localSheetId="1" hidden="1">'Coaching log'!$I$1:$I$82</definedName>
    <definedName name="_xlnm._FilterDatabase" localSheetId="5" hidden="1">'Checlklist-&amp;Template'!$J$1:$J$74</definedName>
    <definedName name="_xlnm._FilterDatabase" localSheetId="3" hidden="1">Budget!$J$2:$J$230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4" l="1"/>
  <c r="C10" i="5"/>
  <c r="C13" i="5"/>
  <c r="A1" i="16"/>
  <c r="L11" i="18"/>
  <c r="L10" i="18"/>
  <c r="L12" i="18" s="1"/>
  <c r="L9" i="18"/>
  <c r="K13" i="5"/>
  <c r="L13" i="5"/>
  <c r="E13" i="5"/>
  <c r="H13" i="5"/>
  <c r="J13" i="5" s="1"/>
  <c r="I13" i="5"/>
  <c r="M13" i="5" s="1"/>
  <c r="A1" i="3"/>
  <c r="A2" i="2"/>
  <c r="I9" i="5"/>
  <c r="A1" i="12"/>
  <c r="A1" i="9"/>
  <c r="A2" i="7"/>
  <c r="A1" i="6"/>
  <c r="L19" i="5"/>
  <c r="K19" i="5"/>
  <c r="J19" i="5"/>
  <c r="I19" i="5"/>
  <c r="M19" i="5" s="1"/>
  <c r="L18" i="5"/>
  <c r="K18" i="5"/>
  <c r="J18" i="5"/>
  <c r="I18" i="5"/>
  <c r="M18" i="5" s="1"/>
  <c r="I12" i="5"/>
  <c r="H12" i="5"/>
  <c r="G12" i="5"/>
  <c r="F12" i="5"/>
  <c r="E12" i="5"/>
  <c r="D12" i="5"/>
  <c r="C12" i="5"/>
  <c r="I10" i="5"/>
  <c r="H10" i="5"/>
  <c r="G10" i="5"/>
  <c r="E10" i="5"/>
  <c r="D10" i="5"/>
  <c r="H9" i="5"/>
  <c r="E9" i="5"/>
  <c r="D9" i="5"/>
  <c r="I8" i="5"/>
  <c r="H8" i="5"/>
  <c r="G8" i="5"/>
  <c r="E8" i="5"/>
  <c r="D8" i="5"/>
  <c r="C8" i="5"/>
  <c r="I7" i="5"/>
  <c r="H7" i="5"/>
  <c r="G7" i="5"/>
  <c r="F7" i="5"/>
  <c r="E7" i="5"/>
  <c r="D7" i="5"/>
  <c r="C7" i="5"/>
  <c r="I6" i="5"/>
  <c r="H6" i="5"/>
  <c r="G6" i="5"/>
  <c r="F6" i="5"/>
  <c r="E6" i="5"/>
  <c r="D6" i="5"/>
  <c r="C6" i="5"/>
  <c r="I5" i="5"/>
  <c r="H5" i="5"/>
  <c r="G5" i="5"/>
  <c r="F5" i="5"/>
  <c r="E5" i="5"/>
  <c r="D5" i="5"/>
  <c r="C5" i="5"/>
  <c r="I4" i="5"/>
  <c r="H4" i="5"/>
  <c r="H20" i="5" s="1"/>
  <c r="G4" i="5"/>
  <c r="G20" i="5" s="1"/>
  <c r="F20" i="5"/>
  <c r="E4" i="5"/>
  <c r="E20" i="5" s="1"/>
  <c r="D4" i="5"/>
  <c r="D20" i="5" s="1"/>
  <c r="C4" i="5"/>
  <c r="C20" i="5" l="1"/>
  <c r="M4" i="5"/>
  <c r="L4" i="5"/>
  <c r="K4" i="5"/>
  <c r="J4" i="5"/>
  <c r="M5" i="5"/>
  <c r="L5" i="5"/>
  <c r="K5" i="5"/>
  <c r="J5" i="5"/>
  <c r="M6" i="5"/>
  <c r="L6" i="5"/>
  <c r="K6" i="5"/>
  <c r="J6" i="5"/>
  <c r="M7" i="5"/>
  <c r="L7" i="5"/>
  <c r="K7" i="5"/>
  <c r="J7" i="5"/>
  <c r="M8" i="5"/>
  <c r="L8" i="5"/>
  <c r="K8" i="5"/>
  <c r="J8" i="5"/>
  <c r="M9" i="5"/>
  <c r="L9" i="5"/>
  <c r="K9" i="5"/>
  <c r="J9" i="5"/>
  <c r="M10" i="5"/>
  <c r="L10" i="5"/>
  <c r="K10" i="5"/>
  <c r="J10" i="5"/>
  <c r="M12" i="5"/>
  <c r="L12" i="5"/>
  <c r="K12" i="5"/>
  <c r="J12" i="5"/>
  <c r="L20" i="5" l="1"/>
  <c r="K20" i="5"/>
  <c r="J20" i="5"/>
  <c r="I20" i="5"/>
  <c r="M20" i="5" s="1"/>
</calcChain>
</file>

<file path=xl/sharedStrings.xml><?xml version="1.0" encoding="utf-8"?>
<sst xmlns="http://schemas.openxmlformats.org/spreadsheetml/2006/main" count="2996" uniqueCount="1521">
  <si>
    <t>Status</t>
  </si>
  <si>
    <t>Definition</t>
  </si>
  <si>
    <t>In Design</t>
  </si>
  <si>
    <t>Test case is being written or updated.
Requirements are being analyzed
Steps and expected results are being documented
Not ready for execution</t>
  </si>
  <si>
    <t>Ready</t>
  </si>
  <si>
    <t>Test case is fully designed and approved for execution.
Steps complete
Test data identified
Awaiting execution</t>
  </si>
  <si>
    <t>Review Completed</t>
  </si>
  <si>
    <t>Test case has been peer-reviewed or approved by QA Lead / Business.
Content validated
Coverage confirmed
No design gaps
Ready for formal execution</t>
  </si>
  <si>
    <t>Pass</t>
  </si>
  <si>
    <t>Test case executed successfully.
Actual result matches expected result
No defect logged
Functionality works as designed</t>
  </si>
  <si>
    <t>Fail</t>
  </si>
  <si>
    <t>Test case executed and did not meet expected result.
Defect identified
Defect logged in tracking system
Requires fix and retest</t>
  </si>
  <si>
    <t>Blocked</t>
  </si>
  <si>
    <t>Test case cannot be executed due to external dependency.
Examples:
Environment issue
Data unavailable
Integration down
Build not deployed
Access issue</t>
  </si>
  <si>
    <t>No Run</t>
  </si>
  <si>
    <t>Test case has not yet been executed.
Not started
Waiting for environment
Waiting for release window
Still in backlog</t>
  </si>
  <si>
    <t>if Yellow</t>
  </si>
  <si>
    <t>Existing Defects</t>
  </si>
  <si>
    <t>Test Case ID</t>
  </si>
  <si>
    <t>Test Description/Title</t>
  </si>
  <si>
    <t>Module / Feature</t>
  </si>
  <si>
    <t>Preconditions</t>
  </si>
  <si>
    <t>Test Steps</t>
  </si>
  <si>
    <t xml:space="preserve">Test Data/ User </t>
  </si>
  <si>
    <t>Expected Result</t>
  </si>
  <si>
    <t>Actual outcome</t>
  </si>
  <si>
    <t>Existing Defect</t>
  </si>
  <si>
    <t>Verify that admin has login to ECMS SF application</t>
  </si>
  <si>
    <t>Monitoring log /Coaching 
log</t>
  </si>
  <si>
    <t>Login SF--&gt;ECMS Application</t>
  </si>
  <si>
    <t xml:space="preserve"> Internal admin</t>
  </si>
  <si>
    <t>The vendor is able to login to ECMS SF homepage</t>
  </si>
  <si>
    <t>working as Excepted</t>
  </si>
  <si>
    <t>The admin is able to create a coaching log</t>
  </si>
  <si>
    <t>That admin should be Provisioned perfectly
 with the Required Permission sets</t>
  </si>
  <si>
    <t>Home page--&gt;Coaching log tab</t>
  </si>
  <si>
    <t>The admin is able to create a new coaching log which is populated 
by selecting role based log form</t>
  </si>
  <si>
    <t>https://prutech.atlassian.net/browse/DOEECMS-1910
https://prutech.atlassian.net/browse/DOEECMS-2020</t>
  </si>
  <si>
    <t>Coaching log--&gt; new</t>
  </si>
  <si>
    <t>Fill the required feilds Based on populated Role based log</t>
  </si>
  <si>
    <t>Coaching log--&gt; Instructional log</t>
  </si>
  <si>
    <t>Coaching Log --&gt;save --&gt; Draft</t>
  </si>
  <si>
    <t>Verify that Admin is able to create a Goal in the Log</t>
  </si>
  <si>
    <t>Permissions Set Group -- Internal admin
	ECMS Instructional Coordinators
        ECMS Leadership Coaches
        ECMS Social Workers</t>
  </si>
  <si>
    <t xml:space="preserve">Coaching log--&gt;Recently viewed
</t>
  </si>
  <si>
    <t>Internal administrators can conduct individual sessions, set goals, 
provide feedback, and collaborate on strategies for professional 
growth, using the coaching log to track the conversations and progress. ​</t>
  </si>
  <si>
    <t>Coaching log--&gt;select desired log link</t>
  </si>
  <si>
    <t>Coaching log --&gt;open--&gt;Quick links</t>
  </si>
  <si>
    <t>Coaching log--&gt;Quick links--&gt;Goals</t>
  </si>
  <si>
    <t>Coaching log --&gt;Goals--&gt; new Goal</t>
  </si>
  <si>
    <t>coaching log --&gt; save</t>
  </si>
  <si>
    <t>Verify that Internal administrators can edit coaching 
goals.</t>
  </si>
  <si>
    <t xml:space="preserve">Coaching log--&gt;Recently Viewed log
</t>
  </si>
  <si>
    <t>The admin is able to edit goals from the log</t>
  </si>
  <si>
    <t>https://prutech.atlassian.net/browse/DOEECMS-1905
https://prutech.atlassian.net/browse/DOEECMS-2038</t>
  </si>
  <si>
    <t>Coaching log --&gt;Goals--&gt; Edit</t>
  </si>
  <si>
    <t xml:space="preserve">verify that Site Based Coaching Log Goals can be viewed by the internal administrator. </t>
  </si>
  <si>
    <t xml:space="preserve">Home page -&gt; Site master
</t>
  </si>
  <si>
    <t>Internal admin</t>
  </si>
  <si>
    <t xml:space="preserve">The admin is able to view Site Based Coaching Log Goals can be
 viewed by the internal administrator. </t>
  </si>
  <si>
    <t>Site master --&gt; Required link --&gt;open Site ID</t>
  </si>
  <si>
    <t>Internal administrators can edit coaching log entries for instructional coaches and social workers to record their coaching experiences, strategies
employed, and insights gained. From the edit screen, users can access the fidelity tool. ​</t>
  </si>
  <si>
    <t xml:space="preserve">Home page--&gt;Coaching log tab
</t>
  </si>
  <si>
    <t>The admin is able to select and edit the logs based their coaching experiences, strategies employed, and insights gained. From the edit screen, users can access the fidelity tool. ​</t>
  </si>
  <si>
    <t>https://prutech.atlassian.net/browse/DOEECMS-1906</t>
  </si>
  <si>
    <t>Coaching log--&gt; Recently Viewed</t>
  </si>
  <si>
    <t>Coaching Log --&gt; Draft Status</t>
  </si>
  <si>
    <t>Coaching log --&gt;Edit  button</t>
  </si>
  <si>
    <t>coaching log --&gt;Fidelity Tool --&gt;based on experiences</t>
  </si>
  <si>
    <t>Internal administrators can email coaching log 
entries to other ECMS users to review.​</t>
  </si>
  <si>
    <t xml:space="preserve">Tab--&gt; Coaching log
</t>
  </si>
  <si>
    <t>View the email draft screen that popped-up in the lower righthand
corner. ​Enter your desired fields and begin composing your email. ​Add in Desired Fields from the Coaching Log Entry.​
​</t>
  </si>
  <si>
    <t>Not working as Excepted</t>
  </si>
  <si>
    <t>https://prutech.atlassian.net/browse/DOEECMS-2037</t>
  </si>
  <si>
    <t>coaching log --&gt; open log hyper link</t>
  </si>
  <si>
    <t>coaching log--&gt;Activitytab</t>
  </si>
  <si>
    <t>coaching log --&gt;Click on Email</t>
  </si>
  <si>
    <t>coaching log --&gt; left corner compose mail</t>
  </si>
  <si>
    <t>coaching log--&gt; Merge fields</t>
  </si>
  <si>
    <t>coaching log --&gt; Send</t>
  </si>
  <si>
    <t>Verify that Internal administrators may 
view previously created coaching logs and its details
 by sites.</t>
  </si>
  <si>
    <t xml:space="preserve">Homepage--&gt; Site master
site master--&gt;site ID
site ID --&gt;Quick links--&gt;view all --&gt;coaching logs </t>
  </si>
  <si>
    <t>Internal administrators are able to view previously created coaching logs and its details by sites.</t>
  </si>
  <si>
    <t>site master--&gt;site ID</t>
  </si>
  <si>
    <t xml:space="preserve">site ID --&gt;Quick links--&gt;view all --&gt;coaching logs </t>
  </si>
  <si>
    <t>Verify that Internal administrators may view and 
update Site Visit Frequency</t>
  </si>
  <si>
    <t xml:space="preserve">Home Page --&gt; Site Master
</t>
  </si>
  <si>
    <t>The internal admin is able to View and visit the site Frequncy able to Update the Visit Frequncy</t>
  </si>
  <si>
    <t xml:space="preserve">Site master--&gt; Open Site ID </t>
  </si>
  <si>
    <t>Site Master--&gt; ID --&gt;Intensity Fields</t>
  </si>
  <si>
    <t>The admin is able to View Sites I assigned to  As Staff</t>
  </si>
  <si>
    <t xml:space="preserve">Home page--&gt;Global search bar
</t>
  </si>
  <si>
    <t xml:space="preserve">The Admin is able to search the site staff with site </t>
  </si>
  <si>
    <t>Home page --&gt;Site staff with Site--&gt;Open -&gt; View</t>
  </si>
  <si>
    <t>Verify that admin is able to assign Leadership 
Coaches, Instructional Coordinators and Social 
Workers to Sites</t>
  </si>
  <si>
    <t xml:space="preserve">Homepage--&gt; Site master
</t>
  </si>
  <si>
    <t>As an internal user I need to assign LeadershipCoaches, Instructional Coordinators and Social Workers to site</t>
  </si>
  <si>
    <t>site ID --&gt;Quick links--&gt;Site staff</t>
  </si>
  <si>
    <t>Site staff --&gt; new</t>
  </si>
  <si>
    <t>Site Staff--&gt;DOE internal--&gt;select staff</t>
  </si>
  <si>
    <t>Site staff --&gt;Staff type = Site contact</t>
  </si>
  <si>
    <t>site staff-&gt; Designation --&gt;which is Required</t>
  </si>
  <si>
    <t>Click Save --&gt; Return to site- the Staff is updated</t>
  </si>
  <si>
    <t>Verify that admin is getting notified or getting
 alerts related log</t>
  </si>
  <si>
    <t xml:space="preserve">Home page -&gt;Notification icon
</t>
  </si>
  <si>
    <t>In the Home page the admin is able to notifications on bell icon and
 below items to approve we can see the call alert related to Log</t>
  </si>
  <si>
    <t>Home page --&gt;Open notification icon</t>
  </si>
  <si>
    <t>Home page --&gt;below Items to approve--&gt; we get log call alerts</t>
  </si>
  <si>
    <t>verify that admin is able to change  the Log status 
from draft to complete</t>
  </si>
  <si>
    <t xml:space="preserve">Tab--&gt; Coaching log
</t>
  </si>
  <si>
    <t>Internal admin is able move path from Dreft to Completed status</t>
  </si>
  <si>
    <t xml:space="preserve">https://prutech.atlassian.net/browse/DOEECMS-2056
https://prutech.atlassian.net/browse/DOEECMS-2019
https://prutech.atlassian.net/browse/DOEECMS-1904
</t>
  </si>
  <si>
    <t>coaching log--&gt; From path --&gt; mark status as complete</t>
  </si>
  <si>
    <t>Select Site while creating Coaching Log</t>
  </si>
  <si>
    <t>Coaching Log</t>
  </si>
  <si>
    <t>Vendor admin should be Provisioned perfectly
 with the Required Permission sets</t>
  </si>
  <si>
    <t xml:space="preserve">Log in to Portal as FCCN User
</t>
  </si>
  <si>
    <t>FCCN User</t>
  </si>
  <si>
    <t>Linked site should be searchable</t>
  </si>
  <si>
    <t xml:space="preserve">Unable to find site though it is linked to the Account and Contact.
</t>
  </si>
  <si>
    <t xml:space="preserve">https://prutech.atlassian.net/browse/DOEECMS-2036
https://prutech.atlassian.net/browse/DOEECMS-1948
</t>
  </si>
  <si>
    <t>Navigate to Coaching Logs → New → Education Specialist Log  → Site</t>
  </si>
  <si>
    <t>when a record is created/saved successfully then 
message should include proper id across all modules.</t>
  </si>
  <si>
    <t xml:space="preserve">Login to Portal as FCCN User
</t>
  </si>
  <si>
    <t>Successfull message should include proper id</t>
  </si>
  <si>
    <t>https://prutech.atlassian.net/browse/DOEECMS-2049</t>
  </si>
  <si>
    <t>Navigate to Coaching log → Create/Edit → Save</t>
  </si>
  <si>
    <t>Total Test Cases</t>
  </si>
  <si>
    <t>Functionality</t>
  </si>
  <si>
    <t>Test Type</t>
  </si>
  <si>
    <t>Actual Result</t>
  </si>
  <si>
    <t>Defect Retest reference</t>
  </si>
  <si>
    <t>Vendor Admin should be able to create weekly attendance to the enrolled student</t>
  </si>
  <si>
    <t>Attendance</t>
  </si>
  <si>
    <t>Attendance/Weekly</t>
  </si>
  <si>
    <t>Positive</t>
  </si>
  <si>
    <t>Student should be enrolled under site and Approved by Enrollment Specialist.
Enrollment should be in Approved status</t>
  </si>
  <si>
    <t xml:space="preserve">Login to ECMS portal as a Vendor
</t>
  </si>
  <si>
    <t>Ravi Krishna</t>
  </si>
  <si>
    <t>Working as Expected</t>
  </si>
  <si>
    <t>Click on Attendance → Weekly Attendance  → Select EBC Site → Select JuniorKG Class</t>
  </si>
  <si>
    <t>User is able to select Junior KG Class</t>
  </si>
  <si>
    <t>Select Student name → Select Week</t>
  </si>
  <si>
    <t>Enter Status as Present --&gt; Add 1st Check In and Check Out timings --&gt; Save</t>
  </si>
  <si>
    <t>Vendor Admin should be able to create weekly attendance for 2nd Check In and Check Out</t>
  </si>
  <si>
    <t>Attendance/Weekly/2nd Check in and Check Out</t>
  </si>
  <si>
    <t>2nd Check In and Check Out timings should be saved</t>
  </si>
  <si>
    <t>Receiving successful message but record is not getting saved.</t>
  </si>
  <si>
    <t>DOEECMS-1885</t>
  </si>
  <si>
    <t>Select Student name → Enter 2nd Check In and Check Out timings → Save</t>
  </si>
  <si>
    <t>Vendor Admin should be able to create Daily Attendance to the enrolled student</t>
  </si>
  <si>
    <t>Attendance/Daily</t>
  </si>
  <si>
    <t xml:space="preserve">Login to ECMS portal as a Vendor
</t>
  </si>
  <si>
    <t>Only one entry should present for one day.</t>
  </si>
  <si>
    <t>Duplicate records getting created</t>
  </si>
  <si>
    <t>DOEECMS-1889</t>
  </si>
  <si>
    <t>Click on Attendance → Daily Attendance  → Select EBC Site → Select JuniorKG Class</t>
  </si>
  <si>
    <t>Select Student name → Select date (eg Jan 15, 2026)</t>
  </si>
  <si>
    <t>Enter Status as Present --&gt; Add Check In and Check Out timings --&gt; Save</t>
  </si>
  <si>
    <t>Vendor Admin should be able to submit Monthly Review</t>
  </si>
  <si>
    <t>Attendance/Monthly Review</t>
  </si>
  <si>
    <t>Vendor should fill roaster for the particular month</t>
  </si>
  <si>
    <t xml:space="preserve">Able to submit </t>
  </si>
  <si>
    <t>Select Attendance Month --&gt; Attendance Class</t>
  </si>
  <si>
    <t>click checkbox --&gt; submit</t>
  </si>
  <si>
    <t>Daily Attendance should not allow before Admission Date</t>
  </si>
  <si>
    <t>Attendance/Dates</t>
  </si>
  <si>
    <t>Negative</t>
  </si>
  <si>
    <t>System should not allow before Admission date (1/1/2026)</t>
  </si>
  <si>
    <t>The system allowed users to enter attendance before the student’s Admission Date(First Day of Attendance)</t>
  </si>
  <si>
    <t>DOEECMS-1896</t>
  </si>
  <si>
    <t>Select Student name → Select date (eg Dec 02, 2025)</t>
  </si>
  <si>
    <t xml:space="preserve"> Fill Check In and Check Out timings and Save</t>
  </si>
  <si>
    <t>Internal Admin should have access to view Attendance Dashboards</t>
  </si>
  <si>
    <t>Attendance/Dashboards</t>
  </si>
  <si>
    <t>Vendor Admit should submit Monthly review report</t>
  </si>
  <si>
    <t xml:space="preserve">Login to SF ECMS Application as Internal Admin
</t>
  </si>
  <si>
    <t>DOEECMS-1897</t>
  </si>
  <si>
    <t>Check Dashboards on Home Page</t>
  </si>
  <si>
    <t>Verify that admin is able to take 
attendance for enrollment is in 
submitted, approved and active in Status</t>
  </si>
  <si>
    <t>Attendance/Enrollment/Status</t>
  </si>
  <si>
    <t xml:space="preserve">Enrollment should be in Submitted or 
Approved Or Active </t>
  </si>
  <si>
    <t xml:space="preserve">Log--&gt;Portal
</t>
  </si>
  <si>
    <t>Bunny</t>
  </si>
  <si>
    <t>Portal--&gt;Attendance tab--&gt;select Submitted Enrollment student</t>
  </si>
  <si>
    <t>Portal--&gt; Take Attendance</t>
  </si>
  <si>
    <t>Vendor Admin is able to take  attendance for the enrollement submitted student</t>
  </si>
  <si>
    <t>Attendance Date Should Not Be Before
 Student DOB</t>
  </si>
  <si>
    <t xml:space="preserve">Login to Vendor Portal
</t>
  </si>
  <si>
    <t>System should restrict attendance entry for dates before the Student DOB 
and display a validation error message.</t>
  </si>
  <si>
    <t>Attendance is saved successfully</t>
  </si>
  <si>
    <t>https://prutech.atlassian.net/browse/DOEECMS-1982</t>
  </si>
  <si>
    <t>Click on Attendance Tab --&gt; Select weekly Attendance</t>
  </si>
  <si>
    <t>Select Site --&gt; class --&gt; Select a student whose DOB is after First day of attendance</t>
  </si>
  <si>
    <t>Fill attendance with check in/out days</t>
  </si>
  <si>
    <t>Save the attendance</t>
  </si>
  <si>
    <t xml:space="preserve">
Verify record should not get saved if no status is given</t>
  </si>
  <si>
    <t xml:space="preserve">login portal → attendance tab
</t>
  </si>
  <si>
    <t>https://prutech.atlassian.net/browse/DOEECMS-1988</t>
  </si>
  <si>
    <t xml:space="preserve">select student and try to take attendance without giving and with giving status as present don’t select the checkin and checkout time and click save </t>
  </si>
  <si>
    <t>It has to be restrict without filling the data it should not get save</t>
  </si>
  <si>
    <t>It was showing that record has sucessfully saved message</t>
  </si>
  <si>
    <t>Verify 2nd Check In/out fields Should be 
 displayed in Backend in Attendance
 Information</t>
  </si>
  <si>
    <t>2nd Check In/out fields should be displayed in Backend in Attendance 
Information, so that admin can check the data provided by vendor and
 make changes if required.</t>
  </si>
  <si>
    <t>2nd Check In/out fields are not displayed in Backend
 in Attendance Information</t>
  </si>
  <si>
    <t>https://prutech.atlassian.net/browse/DOEECMS-1983</t>
  </si>
  <si>
    <t>Select Site --&gt; class --&gt; student --&gt; Fill attendance with 2nd Check In/out fields</t>
  </si>
  <si>
    <t>Log into Backend as System Admin and check the student Contact --&gt; Attendance Info</t>
  </si>
  <si>
    <t>2nd Check In/out fields are missing</t>
  </si>
  <si>
    <t>When accessing the Attendance module
 as a CBO Staff user on the portal,
 navigating to the Weekly Attendance 
feature results in an error message.</t>
  </si>
  <si>
    <t>Error Displayed When Accessing
 Weekly Attendance for CBO Staff User</t>
  </si>
  <si>
    <t xml:space="preserve">1. Navigate to the Attendance module
</t>
  </si>
  <si>
    <t>The Weekly Attendance page should load successfully without any errors.</t>
  </si>
  <si>
    <t>An error message is displayed on the Weekly Attendance page
 asking the user to refresh. Refreshing the page does not 
resolve the issue, and the error persists.</t>
  </si>
  <si>
    <t>https://prutech.atlassian.net/browse/DOEECMS-1780</t>
  </si>
  <si>
    <t xml:space="preserve">
2. Select the Weekly Attendance feature</t>
  </si>
  <si>
    <t>3. Observe the system behavior</t>
  </si>
  <si>
    <t>4. Refresh the page when prompted</t>
  </si>
  <si>
    <t>CB Vendor User Unable to Access 
Monthly Review When Taking Attendance</t>
  </si>
  <si>
    <t>UI Broken for Monthly Attendance Review</t>
  </si>
  <si>
    <t>1. Log in as a CBO Vendor user and have the test data set up for taking 
an attendance.
2. Navigate to Attendance.
3. Click on “Monthly Review”</t>
  </si>
  <si>
    <t>CB Vendor users should be able to click Monthly Review and access the
 monthly attendance summary without errors.</t>
  </si>
  <si>
    <t>The Monthly Review action does not work as expected for 
CBo Vendor user and a BLANK page is displayed with no 
options to select site/class/month.</t>
  </si>
  <si>
    <t>https://prutech.atlassian.net/browse/DOEECMS-1834</t>
  </si>
  <si>
    <t>CBO Vendor User Unable to Select Attendance Status (Present/Absent) in Weekly &amp; Daily Attendance &amp; 2nd Check in-Check Out issue</t>
  </si>
  <si>
    <t>Weekly &amp; Daily Attendance &amp; 
2nd Check in-Check Out issue</t>
  </si>
  <si>
    <t xml:space="preserve">1. Log in as a CBO Vendor User.
</t>
  </si>
  <si>
    <t>1. Daily and Weekly attendance - The Status field should function as a standard picklist and CBO Vendor users should be able to click the Status button and select a value (e.g., Present, Absent).
2. Weekly attendance - 2nd Checkin/Checkout shall work properly for the user.</t>
  </si>
  <si>
    <t>1. Daily and Weekly attendance - The Status picklist is not functioning. The dropdown does not open when clicked. 
2. Weekly attendance - When clicking on SHOW/HIDE 2nd Checkin and Checkout button, it is behaving abnormally.</t>
  </si>
  <si>
    <t>https://prutech.atlassian.net/browse/DOEECMS-1847</t>
  </si>
  <si>
    <t>2. Navigate to Weekly Attendance or Daily Attendance.</t>
  </si>
  <si>
    <t>3. Select a Site.</t>
  </si>
  <si>
    <t>4. Select a Class.</t>
  </si>
  <si>
    <t>5. Select a Student from the roster.</t>
  </si>
  <si>
    <t>6. Attempt to click on the Status field to choose Present/Absent.</t>
  </si>
  <si>
    <t xml:space="preserve">
7. Observe that the picklist does not open and no status can be selected.</t>
  </si>
  <si>
    <t>8. Additionally, for weekly attendance - the 2nd Checkin and Checkout button is behaving abnormally</t>
  </si>
  <si>
    <t>The system allows users to enter
 attendance before the student’s 
Admission Date, which should not be 
permitted.</t>
  </si>
  <si>
    <t>1.Log in as a vendor user.
2. Navigate to Weekly Attendance.
3. Select a Site → Class → Student.
4. Choose a week/month or year before the student’s admission date (e.g., a 2024 week for a student admitted on 12/24/2025).
5. Observe that attendance fields are editable even though they should not be.</t>
  </si>
  <si>
    <t>This is incorrect — attendance entries should only be allowed on or after
 the Admission Date.</t>
  </si>
  <si>
    <t>Student Admission Date: 12/24/2025
System still allows entering attendance for any dates before 
12/24/2025.</t>
  </si>
  <si>
    <t>https://prutech.atlassian.net/browse/DOEECMS-1849</t>
  </si>
  <si>
    <t xml:space="preserve">
2. Navigate to Weekly Attendance.</t>
  </si>
  <si>
    <t>3. Select a Site → Class → Student.</t>
  </si>
  <si>
    <t>4. Choose a week/month or year before the student’s admission date (e.g., a 2024 week for a student admitted on 12/24/2025).</t>
  </si>
  <si>
    <t xml:space="preserve">
5. Observe that attendance fields are editable even though they should not be.</t>
  </si>
  <si>
    <t>When selecting a week that starts on 
a Monday, the calendar incorrectly 
displays attendance dates starting from
 the next day (Tuesday) and shifts the 
whole week forward by one day.</t>
  </si>
  <si>
    <t xml:space="preserve">1.Log in as a vendor user.
2. Navigate to Weekly Attendance.
3. Select a Site → Class → Student.
</t>
  </si>
  <si>
    <t>https://prutech.atlassian.net/browse/DOEECMS-1850</t>
  </si>
  <si>
    <t>2. Navigate to Weekly Attendance.
3. Select a Site → Class → Student.</t>
  </si>
  <si>
    <t>4. Choose week starting Monday, June 17, 2024.
5. Observe the date range shown as June 18–June 22 instead of June 17–June 21 displaying incorrect days.</t>
  </si>
  <si>
    <t>The user is no longer able to select dates before to the Admission Date. 
When a Monday is selected as the week start date, the table now displays 
the correct dates and corresponding days.</t>
  </si>
  <si>
    <t xml:space="preserve"> Community Portal user assigned the ECMS Vendor Admin – External permission set group is unable to access the Attendance module in the community portal.
Based on the assigned permission set, this user should have access to all applicable community modules, including Attendance. However, when attempting to access the Attendance module, the system displays an authorization error indicating insufficient permissions.
This indicates a mismatch between the permission set assignment and actual access enforcement for the Attendance module.</t>
  </si>
  <si>
    <t xml:space="preserve">Community user is active
User is assigned Permission Set Group: ECMS Vendor Admin – External
User can successfully log into the ECMS Community Portal
 </t>
  </si>
  <si>
    <t xml:space="preserve">1. Log in to Salesforce Setup
2. Navigate to Users
</t>
  </si>
  <si>
    <t>A Community user with ECMS Vendor Admin – External permission set should be able to:
Access the Attendance module
View and perform Attendance-related actions as designed for Vendor Admin users
No permission error should be displayed</t>
  </si>
  <si>
    <t>User receives an error message:
“You do not have permission to access the Attendance module.”
Attendance module does not load</t>
  </si>
  <si>
    <t>https://prutech.atlassian.net/browse/DOEECMS-1913</t>
  </si>
  <si>
    <t>2. Navigate to Users
3. Open the affected Community User record</t>
  </si>
  <si>
    <t xml:space="preserve"> Verify Permission Set Group Assignment: ECMS Vendor Admin – External is assigned
5. Log in as the same user via the ECMS Community Portal
</t>
  </si>
  <si>
    <t xml:space="preserve">
6. Navigate to the Attendance module
7. Click on Attendance</t>
  </si>
  <si>
    <t>Unable to submit ‘Report Absence’ for an Enrolled student.</t>
  </si>
  <si>
    <t>Login to ECMS Portal as a Vendor user
Go to Submitted Enrollments → Open any record → Click On top right cornerdropdown</t>
  </si>
  <si>
    <t>https://prutech.atlassian.net/browse/DOEECMS-1966</t>
  </si>
  <si>
    <t xml:space="preserve"> Report Absence → Fill The details and submit.</t>
  </si>
  <si>
    <t>Vendor should be able to Report Absence for an Enrolled student.</t>
  </si>
  <si>
    <t>Attendance Date Should Not Be Before Student DOB</t>
  </si>
  <si>
    <t xml:space="preserve">1. Login to Vendor Portal
2. Click on Attendance Tab --&gt; Select weekly Attendance
3. Select Site --&gt; class --&gt; Select a student whose DOB is after First day of attendance
</t>
  </si>
  <si>
    <t xml:space="preserve"> Click on Attendance Tab --&gt; Select weekly Attendance
3. Select Site --&gt; class --&gt; Select a student whose DOB is after First day of attendance</t>
  </si>
  <si>
    <t>4. Fill attendance with check in/out days
5. Save the attendance</t>
  </si>
  <si>
    <t>ECMS Attendance for Vendors - View Report – Current
 Month Attendance by Seat Type and Class Not Displayed in
 Correct Position.</t>
  </si>
  <si>
    <t>Attendance dashboard</t>
  </si>
  <si>
    <t> </t>
  </si>
  <si>
    <t xml:space="preserve">1.Log into Test Org as ECMS internal Admin
2.Navigate to the ECMS home screen.
</t>
  </si>
  <si>
    <t>View report for Current Month Attendance by Seat Type and Class should be 
displayed in Correct Position.</t>
  </si>
  <si>
    <t>View report for Current Month Attendance by Seat Type and 
Class not displayed in Correct Position.</t>
  </si>
  <si>
    <t>https://prutech.atlassian.net/browse/DOEECMS-1994</t>
  </si>
  <si>
    <t>Click on the nine dots on the top navigation bar and type “Dashboards".
4.Click on “Dashboards”.</t>
  </si>
  <si>
    <t xml:space="preserve">Click “All Dashboards” in the leftmost navigation pane.
6.Click on, “ECMS Attendance for Vendors.”
</t>
  </si>
  <si>
    <t xml:space="preserve">.View the “Current Month Attendance by Seat Type” dashboard.
8.At the end , View report is displayed for Class.
</t>
  </si>
  <si>
    <t>9.View the “Current Month Attendance by Class” dashboard.
10.At the end, View report is displayed for Seat Type.</t>
  </si>
  <si>
    <t>ECMS Attendance for Vendors - View Report – Current
 Month Attendance by Seat Type is not Displayed as Expected</t>
  </si>
  <si>
    <t>Log into Test Org as ECMS internal Admin
Navigate to the ECMS home screen.</t>
  </si>
  <si>
    <t>View report for Current Month Attendance by Seat Type is not
 showing correct data</t>
  </si>
  <si>
    <t>https://prutech.atlassian.net/browse/DOEECMS-1995</t>
  </si>
  <si>
    <t xml:space="preserve">Click on the nine dots on the top navigation bar and type “Dashboards".
Click on “Dashboards”.
</t>
  </si>
  <si>
    <t>Click “All Dashboards” in the leftmost navigation pane.
Click on, “ECMS Attendance for Vendors.”</t>
  </si>
  <si>
    <t xml:space="preserve">View the “Current Month Attendance by Seat Type” dashboard.
Click on View Report (Current Month Attendance by Seat Type) Hyperlink
</t>
  </si>
  <si>
    <t xml:space="preserve">When clicked on View report for Current Month Attendance by Seat Type, 
correct Information and Graph related to Seat type should be displayed
</t>
  </si>
  <si>
    <t>Attendance with Closure status is saving Check in/Out dates
 in the backend</t>
  </si>
  <si>
    <t xml:space="preserve">Log into Test Org as Vendor user
Click on Attendance --&gt; Daily/ Weekly Attendance
</t>
  </si>
  <si>
    <t>When Attendance is filled with Closure status, check in/out 
time is being saved</t>
  </si>
  <si>
    <t>https://prutech.atlassian.net/browse/DOEECMS-1997</t>
  </si>
  <si>
    <t>Daily attendance --&gt; Select Site --&gt; Class --&gt; Student --&gt; Fill attendance status as present initially</t>
  </si>
  <si>
    <t xml:space="preserve">Fill check in/out dates and now change the status to closure
</t>
  </si>
  <si>
    <t>Save the Attendance
In case of Daily Attendance --&gt; Check in/out timings are displayed in Vendor login also after saving with closure status</t>
  </si>
  <si>
    <t xml:space="preserve">In case of Weekly Attendance --&gt; Check in/out timings are erased in Vendor login after saving with closure status
</t>
  </si>
  <si>
    <t>Go back to Backend and check in student contact --&gt; Attendance record --&gt; for closure status day attendance, check in/check out timings are displayed.</t>
  </si>
  <si>
    <t>When Attendance is filled with Closure status, check in/out time fields should 
be blank in all areas.</t>
  </si>
  <si>
    <t>When we report attendance for a student giving absence 
report before the first day of attendance</t>
  </si>
  <si>
    <t xml:space="preserve">Report absence </t>
  </si>
  <si>
    <t xml:space="preserve">Login portal--&gt;Enrollments tab
Select submitted enrollments from the leftmost dropdown 
select enrollment and from right corner dropdown select report absence
Give the date before the first day of attendance and submit observe the behavior
</t>
  </si>
  <si>
    <t>It should restrict the day before first day of attendance give an error message 
related issue</t>
  </si>
  <si>
    <t>The report absence get added to the record without displaying
 an error message and restriction</t>
  </si>
  <si>
    <t>https://prutech.atlassian.net/browse/DOEECMS-1998</t>
  </si>
  <si>
    <t>Improper Check-In/Check-Out Time Validation issue in Daily
 Attendance</t>
  </si>
  <si>
    <t>Click on Attendance --&gt; Daily Attendance
Daily attendance --&gt; Select Site --&gt; Class --&gt; Student --&gt; Fill attendance with Invalid time zone
Fill 1st Check in   : 6AM
     1st Check out :  9AM
     2nd Check in  : 7AM
     2nd Check out: 9AM
System is saving attendance with improper check in/out timings.</t>
  </si>
  <si>
    <t xml:space="preserve"> 1st Check in/out timings should be less than the 2nd Check in/out timings.</t>
  </si>
  <si>
    <t xml:space="preserve"> System is saving attendance with improper check in/out timings.</t>
  </si>
  <si>
    <t>https://prutech.atlassian.net/browse/DOEECMS-2007</t>
  </si>
  <si>
    <t>EDY Attendance Validation Triggered for Non-Admission
 Dates</t>
  </si>
  <si>
    <t>Timesheet is mandatory 
for all EDY Students</t>
  </si>
  <si>
    <t xml:space="preserve">Log into Test Org as Vendor user
Click on Attendance --&gt; Daily/Weekly Attendance
</t>
  </si>
  <si>
    <t>Getting EDY validation when not needed</t>
  </si>
  <si>
    <t>https://prutech.atlassian.net/browse/DOEECMS-2008</t>
  </si>
  <si>
    <t>Weekly attendance --&gt; Select Site --&gt; Class --&gt; Student --&gt; Fill the data</t>
  </si>
  <si>
    <t>Admission date for student is Feb 10th, 2026 - so weekly attendance starts from Feb 9th to Feb 13th</t>
  </si>
  <si>
    <t>Feb 9th will be disabled ad admission date is Feb 10th
After filling attendance from 10th to 13th and clicked on save, getting validation for EDY as Error notification.</t>
  </si>
  <si>
    <t xml:space="preserve">EDY validation should come to days which are included from date of admission
</t>
  </si>
  <si>
    <t>User able to save Weekly Attendance without adding CheckIn/CheckOut timings</t>
  </si>
  <si>
    <t xml:space="preserve">Login in to portal as Vendor User
Click on Attendance tab → Weekly Attendance → Select Site → Class → Student
</t>
  </si>
  <si>
    <t>Record saved sucessfully without any error message</t>
  </si>
  <si>
    <t>https://prutech.atlassian.net/browse/DOEECMS-2017</t>
  </si>
  <si>
    <t xml:space="preserve">Select week and add Status (Present/Absent/Closure) –&gt; Click on Save
</t>
  </si>
  <si>
    <t>System should throw error message to enter CheckIn/CheckOut timings</t>
  </si>
  <si>
    <t>Student’s ‘First Day of Attendance’  was from 7/1/2025. So 
User wants to review Monthly Attendance.</t>
  </si>
  <si>
    <t xml:space="preserve">User able to see only few months on Monthly Review
</t>
  </si>
  <si>
    <t xml:space="preserve">Login in to portal as Vendor User
Click on Attendance tab → Monthly Review → Select Site </t>
  </si>
  <si>
    <t>July month is not showing</t>
  </si>
  <si>
    <t>https://prutech.atlassian.net/browse/DOEECMS-2018</t>
  </si>
  <si>
    <t>Attendance Month → Search for July month is not showing</t>
  </si>
  <si>
    <t>System should display July month as Student’s ‘First Day of Attendance’  
was from 7/1/2025.</t>
  </si>
  <si>
    <t>Monthly Attendance - Class Name is missing when editing 
the not Filled days before Certify</t>
  </si>
  <si>
    <t xml:space="preserve">Log into Test Org as Vendor user
Click on Attendance --&gt; Monthly Attendance
</t>
  </si>
  <si>
    <t>Monthly Attendance - Class Name is missing when editing the
 not Filled days before Certify</t>
  </si>
  <si>
    <t>https://prutech.atlassian.net/browse/DOEECMS-2023</t>
  </si>
  <si>
    <t xml:space="preserve">Weekly attendance --&gt; Select Site --&gt; Month
Click on Edit to fill the pending attendance
</t>
  </si>
  <si>
    <t>Monthly Attendance - Class Name should be visible when editing the not Filled 
days</t>
  </si>
  <si>
    <t>In View, Class Name field data is missing</t>
  </si>
  <si>
    <t>Test Scenario</t>
  </si>
  <si>
    <t>Test Data</t>
  </si>
  <si>
    <t>Priority</t>
  </si>
  <si>
    <t>Budget</t>
  </si>
  <si>
    <t>Budget/NewBudget</t>
  </si>
  <si>
    <t>Vendor Admin (Experience User) Should be able create a new Budget from Site &gt; ECMS Contract</t>
  </si>
  <si>
    <t>User is an Experience Cloud user (active) tied to a Contact under the Vendor Account.
User is assigned to ECMS Vendor Admin External Permission Assignment Group (as you confirmed).
Vendor Account has:
At least one active Site visible to the vendor user in portal
At least one ECMS Contract linked/available for that Site (and in valid FY/status to allow budgeting)
User can successfully log into the ECMS Portal.</t>
  </si>
  <si>
    <t xml:space="preserve">Log in to ECMS Portal as Experience user (Vendor Admin).
</t>
  </si>
  <si>
    <t xml:space="preserve">Confirm user is successfully logged in </t>
  </si>
  <si>
    <t>Reviewed Completed</t>
  </si>
  <si>
    <t>DOEECMS-1867</t>
  </si>
  <si>
    <t>From the portal menu, open Site.</t>
  </si>
  <si>
    <t>Confirm site is launched successfully</t>
  </si>
  <si>
    <t>Select a valid Site record.</t>
  </si>
  <si>
    <t>confirm system accept user input</t>
  </si>
  <si>
    <t>Click ECMS Contract (related section / tab / related list).</t>
  </si>
  <si>
    <t>Verify system should show all related contracts</t>
  </si>
  <si>
    <t>Open the relevant ECMS Contract record.</t>
  </si>
  <si>
    <t>Verify ECMS contract record is open</t>
  </si>
  <si>
    <t>Click Create New Budget.</t>
  </si>
  <si>
    <t>System should open the New Budget page / Budget creation flow and allow the user to:
Select FY / Site / Contract Type (as applicable)
Save Budget as Draft
See Budget record created and visible under Budgets list
Expected Outcome: Budget creation screen loads and a new Budget record can be created.</t>
  </si>
  <si>
    <t>Site Manager (Experience User) Should be able create a new Budget from Site &gt; ECMS Contract</t>
  </si>
  <si>
    <t>User is an Experience Cloud user (active) tied to a Contact under the Vendor Account.
User is assigned to ECMS Site Manager External Permission Assignment Group (as you confirmed).
Vendor Account has:
At least one active Site visible to the vendor user in portal
At least one ECMS Contract linked/available for that Site (and in valid FY/status to allow budgeting)
User can successfully log into the ECMS Portal.</t>
  </si>
  <si>
    <t xml:space="preserve">Log in to ECMS Portal as Experience user (Site Manager).
</t>
  </si>
  <si>
    <t>Successfully logged in</t>
  </si>
  <si>
    <t>Confirm user land on the site</t>
  </si>
  <si>
    <t>Confirm valid site record is selected</t>
  </si>
  <si>
    <t>Confirm user land on related list tab</t>
  </si>
  <si>
    <t>Confirm relevant contract record is selected</t>
  </si>
  <si>
    <t>confirm user land on budget page</t>
  </si>
  <si>
    <t>When a vendor submits a budget for approval or the budget is approved by OA and sent to OD for next level approval, the Items to Approve component on the ECMS Home Page should display a single entry</t>
  </si>
  <si>
    <t>Submit the budget using Submit Budget (for vendor portal) or Approve Budget as OA AND Sent for approval to OD.</t>
  </si>
  <si>
    <t>Confirm budget is sent to approval</t>
  </si>
  <si>
    <t>DOEECMS-1804</t>
  </si>
  <si>
    <t>Log in as an Internal DECE user (OA/OD).</t>
  </si>
  <si>
    <t>Confirm user is succesfully logged in</t>
  </si>
  <si>
    <t>Navigate to the Home Page.</t>
  </si>
  <si>
    <t>Confirm user lands on home page</t>
  </si>
  <si>
    <t>Review the Items to Approve component.</t>
  </si>
  <si>
    <t>Only one approval entry should appear for each budget submitted.                                                                                                                    The component should display a single actionable record corresponding to the submitted budget.</t>
  </si>
  <si>
    <t>Amend Budget with Contact Change</t>
  </si>
  <si>
    <t>Verify user should be able to change  POC Contact when Amending a Budget</t>
  </si>
  <si>
    <t>Vendor user has valid Community Portal access and required permissions to amend budgets.
An existing Budget is in status Approved by DOE.
An Invoice exists for the same Site/Contract/Budget context and is currently in Saved status (not submitted).
Budget is visible to the Vendor user in the Community Portal.</t>
  </si>
  <si>
    <t>Login to ECMS Community Portal as Vendor Management / Vendor Admin user.</t>
  </si>
  <si>
    <t>Accept the New Contact selection,
Persist the selected Contact for the amendment context, and
Allow the user to proceed to the next step of the amendment flow (continue amendment of the budget).</t>
  </si>
  <si>
    <t>Navigate to Budgets.</t>
  </si>
  <si>
    <t>lands on budget list</t>
  </si>
  <si>
    <t xml:space="preserve">
Open an existing Budget that is Approved and has an Invoice created in Saved status.</t>
  </si>
  <si>
    <t>and has an Invoice created in Saved status.</t>
  </si>
  <si>
    <t xml:space="preserve">
Click Amend Budget.</t>
  </si>
  <si>
    <t>Budget is now open in amend and new Budget ID is generated</t>
  </si>
  <si>
    <t>In the amendment flow, navigate to the Budget Information screen.</t>
  </si>
  <si>
    <t>confirm budget information screen should display</t>
  </si>
  <si>
    <t xml:space="preserve">
Select the radio button New Contact.</t>
  </si>
  <si>
    <t>Confirm system allow user action</t>
  </si>
  <si>
    <t>Choose a new Contact from the list (lookup/picklist).</t>
  </si>
  <si>
    <t>Confirm system allow user to select new contact from the list</t>
  </si>
  <si>
    <t>Click Next.</t>
  </si>
  <si>
    <t xml:space="preserve">confirm user should be able to change the contact </t>
  </si>
  <si>
    <t>Verify Budget deletion by System Admin</t>
  </si>
  <si>
    <t>System Admin should be logged into the system</t>
  </si>
  <si>
    <t xml:space="preserve">Navigate to required budget in SF and click on "delete" from the action dropdown. </t>
  </si>
  <si>
    <t>Delete budget prompt gets displayed</t>
  </si>
  <si>
    <t>Click on "Delete" on the Delete Budget prompt</t>
  </si>
  <si>
    <t>Budget gets deleted and is no longer available in the system</t>
  </si>
  <si>
    <t>Verify non-system admin can't delete a budget</t>
  </si>
  <si>
    <t xml:space="preserve">Non- System Admin should be logged into the system
</t>
  </si>
  <si>
    <t xml:space="preserve">Navigate to required budget in SF and click on the action dropdown in the right. </t>
  </si>
  <si>
    <t>Delete option should not be displayed in the dropdown</t>
  </si>
  <si>
    <t>Update Line Items</t>
  </si>
  <si>
    <t xml:space="preserve">Verify Vendor admin should be able to update line items </t>
  </si>
  <si>
    <t>Budget should be saved and available</t>
  </si>
  <si>
    <t xml:space="preserve">
Log in as a Vendor user with ECMS Budgets – External permission set.
</t>
  </si>
  <si>
    <t>confirm user is successfully logged in</t>
  </si>
  <si>
    <t>DOEECMS-1802</t>
  </si>
  <si>
    <t>Confirm budget page displays</t>
  </si>
  <si>
    <t xml:space="preserve">
Open any Saved Budget record.</t>
  </si>
  <si>
    <t>confirm user should be able to open budget</t>
  </si>
  <si>
    <t>Click the dropdown in the top‑right and select Update Line Items.</t>
  </si>
  <si>
    <t>confirm user should be able to update line items</t>
  </si>
  <si>
    <t>Observe system behavior.</t>
  </si>
  <si>
    <t>Vendor should be able to add/edit line items</t>
  </si>
  <si>
    <t>Create/Edit</t>
  </si>
  <si>
    <t>Verify External User shoud be able to Create Budget</t>
  </si>
  <si>
    <t>User is an Experience Cloud user (active) tied to a Contact under the Vendor Account.
User is assigned required Permission Assignment Group .
Vendor Account has:
At least one active Site visible to the vendor user in portal
At least one ECMS Contract linked/available for that Site (and in valid FY/status to allow budgeting)
User can successfully log into the ECMS Portal.</t>
  </si>
  <si>
    <t>1)Navigate to Budgets and click Create New Budget</t>
  </si>
  <si>
    <t>Budget page will open</t>
  </si>
  <si>
    <t xml:space="preserve">2)Enter required budget details 
</t>
  </si>
  <si>
    <t>Budget details will get entered</t>
  </si>
  <si>
    <t>3)Click Save</t>
  </si>
  <si>
    <r>
      <rPr>
        <sz val="11"/>
        <color rgb="FF000000"/>
        <rFont val="Calibri"/>
        <scheme val="minor"/>
      </rPr>
      <t xml:space="preserve">A confirmation message should be displayed and the budget status should be set to the expected initial status (e.g., Draft/Saved)
The budget record should display the selected </t>
    </r>
    <r>
      <rPr>
        <b/>
        <sz val="11"/>
        <color rgb="FF000000"/>
        <rFont val="Calibri"/>
        <scheme val="minor"/>
      </rPr>
      <t>Contact</t>
    </r>
    <r>
      <rPr>
        <sz val="11"/>
        <color rgb="FF000000"/>
        <rFont val="Calibri"/>
        <scheme val="minor"/>
      </rPr>
      <t xml:space="preserve"> and </t>
    </r>
    <r>
      <rPr>
        <b/>
        <sz val="11"/>
        <color rgb="FF000000"/>
        <rFont val="Calibri"/>
        <scheme val="minor"/>
      </rPr>
      <t>Total Amount</t>
    </r>
  </si>
  <si>
    <t>Amend an existing budget-Update/contact an amount</t>
  </si>
  <si>
    <t xml:space="preserve"> User is logged in into the system and a submitted budget is available for amendment.</t>
  </si>
  <si>
    <t>View the budget details page and click on Amend Budget</t>
  </si>
  <si>
    <t>Amend budget screen will open</t>
  </si>
  <si>
    <t>Select/change the contact as desired</t>
  </si>
  <si>
    <t>Contact gets selected.</t>
  </si>
  <si>
    <t>Update other data(line items, classes and documents) as required and click on next</t>
  </si>
  <si>
    <t>Amended budget should get saved</t>
  </si>
  <si>
    <t xml:space="preserve">Check Amended Level. “A” indicates one amendment; “B” indicates two amendments; “C” indicates three amendments. 
Click the links to any related budget to view the detailed record for that prior version.
</t>
  </si>
  <si>
    <t>Level should be accurate</t>
  </si>
  <si>
    <t>Verify Amount Validation in the budget during amendment</t>
  </si>
  <si>
    <t xml:space="preserve">Given I am amending a budget
When I enter an invalid amount (e.g., negative value, exceeds allowed limits, or invalid format)
And I attempt to save the amendment
Then the system should prevent the save action
And display a clear validation message explaining the rule violation
 </t>
  </si>
  <si>
    <t>Verify Amendment of a budget is blocked based on budget status</t>
  </si>
  <si>
    <t>Given I am viewing a budget that is not eligible for amendment (e.g., Submitted, Approved, or Locked)
When I attempt to amend the budget
Then the Amend Budget option should not be available
Or the system should block the action with a clear explanatory message</t>
  </si>
  <si>
    <t>Verify Cancelling and amendment of a budget doesn't impact the original budget</t>
  </si>
  <si>
    <t>Given I have initiated an amendment and modified the contact and amount
When I cancel the amendment or exit without saving
Then the original budget should remain unchanged
And no amendment record should be created</t>
  </si>
  <si>
    <t>Verify that if a budget is in approval queue, then a new budget cannot be created</t>
  </si>
  <si>
    <t xml:space="preserve">A Budget in approval queue already exists for:
•	Same Site
•	Same Fiscal Year
</t>
  </si>
  <si>
    <t>Login to the portal and attempt to create a budget</t>
  </si>
  <si>
    <t xml:space="preserve">Message is received "You already have a budget in the status of "Pending Approval" for the selected Contract Type and the Fiscal year: "Budget number" 
Please click Next to be redirected to the Saved Budget.
</t>
  </si>
  <si>
    <t>New Budget - Negative Scenario</t>
  </si>
  <si>
    <t>Verify a new Budget is created without selecting active Site</t>
  </si>
  <si>
    <t xml:space="preserve">Log in to ECMS Portal as Experience user
In Home screen, Click on Create Budget Button --&gt; New 
Without selecting atlease one site, click on Next
</t>
  </si>
  <si>
    <t>There should be a validation error message and system should not allow for further step</t>
  </si>
  <si>
    <t>Saved Budget - Negative Scenario</t>
  </si>
  <si>
    <t>Submit a saved Budget without adding classes for Approval</t>
  </si>
  <si>
    <t xml:space="preserve">Log in to ECMS Portal as Experience user
In Home screen, Click on Create Budget Button --&gt; New 
Create a Budget without adding classes
Open any saved Budget and submit budget for Approval
System should restrict Vendor from submission and display validation message to add classes
</t>
  </si>
  <si>
    <t>System should restrict Vendor from submission and display validation message to add classes</t>
  </si>
  <si>
    <t>Submit a saved Budget without Updating line items for Approval</t>
  </si>
  <si>
    <t xml:space="preserve">Log in to ECMS Portal as Experience user
In Home screen, Click on Create Budget Button --&gt; New 
Create a Budget with classes
Open any saved Budget and submit budget for Approval
System should restrict Vendor from submission and display validation message to update line items
</t>
  </si>
  <si>
    <t>System should restrict Vendor from submission and display validation message to update line items</t>
  </si>
  <si>
    <t>New Budget</t>
  </si>
  <si>
    <t>Verify that if a budget is already created and in saved status, try to create one more Budget with same site</t>
  </si>
  <si>
    <t>Given I have an existing budget that is in saved status
When I select New Budget 
And choose a same site with which already a budget is created
Then the system should prevent the Duplicate Budget creation</t>
  </si>
  <si>
    <t>System should prevent the Duplicate Budget creation</t>
  </si>
  <si>
    <t>Verify New contact selection should proceed for approved budget with saved invoice during amendement of a budget</t>
  </si>
  <si>
    <t>Open an existing Budget that is Approved and has an Invoice created in Saved status.</t>
  </si>
  <si>
    <t>Click Amend Budget.</t>
  </si>
  <si>
    <t>Select the radio button New Contact.</t>
  </si>
  <si>
    <t xml:space="preserve">Accept the New Contact selection,
Persist the selected Contact for the amendment context, and
Allow the user to proceed to the next step of the amendment flow (continue amendment of the budget).
</t>
  </si>
  <si>
    <t>DOEECMS-1880</t>
  </si>
  <si>
    <t>Budget Approvals-&gt; OD is not able to approve/reject/reassign budgets unless OA has approved them</t>
  </si>
  <si>
    <t>User is logged into the system as an Operations Director. Budget is pending for OA's approval in the system</t>
  </si>
  <si>
    <t>1)Login as a vendor admin to portal.</t>
  </si>
  <si>
    <t>User is logged into the system</t>
  </si>
  <si>
    <r>
      <rPr>
        <sz val="11"/>
        <color rgb="FF000000"/>
        <rFont val="Calibri"/>
        <scheme val="minor"/>
      </rPr>
      <t xml:space="preserve">
</t>
    </r>
    <r>
      <rPr>
        <sz val="11"/>
        <color rgb="FF000000"/>
        <rFont val="Calibri"/>
        <scheme val="minor"/>
      </rPr>
      <t xml:space="preserve">2)Create and Submit a budget for approval in “Pending Approval” Status
</t>
    </r>
  </si>
  <si>
    <t>Budget should get created</t>
  </si>
  <si>
    <t xml:space="preserve">
3)Login to SF and see that the budget is assigned to Operations Analyst 
</t>
  </si>
  <si>
    <t>Assignment is visible</t>
  </si>
  <si>
    <t xml:space="preserve">
4)Login as Operations Director Internal user in SF-&gt; ECMS app
</t>
  </si>
  <si>
    <t>Operations director is logged in</t>
  </si>
  <si>
    <t xml:space="preserve">
5)Go to Approvals History → Budget record →  ‘Approval Request’ page</t>
  </si>
  <si>
    <t>Approve/Reject/Reassign buttons are not available. OD shall be able see the custom buttons on approval record to Approve, Reject or Reassign ONLY after OA approval is completed</t>
  </si>
  <si>
    <t>DOEECMS-1724</t>
  </si>
  <si>
    <r>
      <rPr>
        <sz val="11"/>
        <color rgb="FF000000"/>
        <rFont val="Calibri"/>
        <scheme val="minor"/>
      </rPr>
      <t xml:space="preserve">An ECMS Internal User(OA) can enter comments on a </t>
    </r>
    <r>
      <rPr>
        <b/>
        <sz val="11"/>
        <color rgb="FF000000"/>
        <rFont val="Calibri"/>
        <scheme val="minor"/>
      </rPr>
      <t xml:space="preserve">saved </t>
    </r>
    <r>
      <rPr>
        <sz val="11"/>
        <color rgb="FF000000"/>
        <rFont val="Calibri"/>
        <scheme val="minor"/>
      </rPr>
      <t>Budget so vendors are informed of necessary edits to the budget.</t>
    </r>
  </si>
  <si>
    <t>A saved budget is available</t>
  </si>
  <si>
    <t>1) Login to Salesforce as OA</t>
  </si>
  <si>
    <r>
      <rPr>
        <sz val="11"/>
        <color rgb="FF000000"/>
        <rFont val="Calibri"/>
        <scheme val="minor"/>
      </rPr>
      <t xml:space="preserve">
</t>
    </r>
    <r>
      <rPr>
        <sz val="11"/>
        <color rgb="FF000000"/>
        <rFont val="Calibri"/>
        <scheme val="minor"/>
      </rPr>
      <t xml:space="preserve">2)	Navigate to the SAVED budget you want to enter comments for
</t>
    </r>
  </si>
  <si>
    <t xml:space="preserve">
3)	Click on “Comments” tab
</t>
  </si>
  <si>
    <t>Comments section will open</t>
  </si>
  <si>
    <t xml:space="preserve">
4)	Select setting for “To” as “All with access”
</t>
  </si>
  <si>
    <t>Setting gets selected</t>
  </si>
  <si>
    <t xml:space="preserve">
5)	Post a comment. Click Share
</t>
  </si>
  <si>
    <t xml:space="preserve">1)	The comment gets saved in the system and is visible in the Comments section. 
2)	Vendor can login into the portal and see the comment listed in the budget record.
</t>
  </si>
  <si>
    <r>
      <rPr>
        <sz val="11"/>
        <color rgb="FF000000"/>
        <rFont val="Calibri"/>
        <scheme val="minor"/>
      </rPr>
      <t xml:space="preserve">An ECMS Internal User(OD) can enter comments on a </t>
    </r>
    <r>
      <rPr>
        <b/>
        <sz val="11"/>
        <color rgb="FF000000"/>
        <rFont val="Calibri"/>
        <scheme val="minor"/>
      </rPr>
      <t xml:space="preserve">saved </t>
    </r>
    <r>
      <rPr>
        <sz val="11"/>
        <color rgb="FF000000"/>
        <rFont val="Calibri"/>
        <scheme val="minor"/>
      </rPr>
      <t>Budget so vendors are informed of necessary edits to the budget.</t>
    </r>
  </si>
  <si>
    <t>1) Login to Salesforce as OD</t>
  </si>
  <si>
    <r>
      <rPr>
        <sz val="11"/>
        <color rgb="FF000000"/>
        <rFont val="Calibri"/>
        <scheme val="minor"/>
      </rPr>
      <t>An ECMS Internal User(OA) can enter comments on a "</t>
    </r>
    <r>
      <rPr>
        <b/>
        <sz val="11"/>
        <color rgb="FF000000"/>
        <rFont val="Calibri"/>
        <scheme val="minor"/>
      </rPr>
      <t>pending for approval</t>
    </r>
    <r>
      <rPr>
        <sz val="11"/>
        <color rgb="FF000000"/>
        <rFont val="Calibri"/>
        <scheme val="minor"/>
      </rPr>
      <t>" Budget so vendors are informed of necessary edits to the budget.</t>
    </r>
  </si>
  <si>
    <t>A budget is available in the "pending for approval" status</t>
  </si>
  <si>
    <r>
      <rPr>
        <sz val="11"/>
        <color rgb="FF000000"/>
        <rFont val="Calibri"/>
        <scheme val="minor"/>
      </rPr>
      <t xml:space="preserve">
</t>
    </r>
    <r>
      <rPr>
        <sz val="11"/>
        <color rgb="FF000000"/>
        <rFont val="Calibri"/>
        <scheme val="minor"/>
      </rPr>
      <t xml:space="preserve">2)	Navigate to the budget in PENDING APPROVAL status, that you want to enter comments for
</t>
    </r>
  </si>
  <si>
    <r>
      <rPr>
        <sz val="11"/>
        <color rgb="FF000000"/>
        <rFont val="Calibri"/>
        <scheme val="minor"/>
      </rPr>
      <t>An ECMS Internal User(OD) can enter comments on a "</t>
    </r>
    <r>
      <rPr>
        <b/>
        <sz val="11"/>
        <color rgb="FF000000"/>
        <rFont val="Calibri"/>
        <scheme val="minor"/>
      </rPr>
      <t>pending for approval</t>
    </r>
    <r>
      <rPr>
        <sz val="11"/>
        <color rgb="FF000000"/>
        <rFont val="Calibri"/>
        <scheme val="minor"/>
      </rPr>
      <t>" Budget so vendors are informed of necessary edits to the budget.</t>
    </r>
  </si>
  <si>
    <t xml:space="preserve">
3)	Click on “Comments” tab
</t>
  </si>
  <si>
    <t>DOEECMS-1924</t>
  </si>
  <si>
    <t>An ECMS Internal User(OA) can enter comments on a "REJECTED BY DOE" Budget so vendors are informed of necessary edits to the budget.</t>
  </si>
  <si>
    <t>A budget is available in the "rejected by DOE" status</t>
  </si>
  <si>
    <t>1) Login to Salesforce as Operations Analyst</t>
  </si>
  <si>
    <r>
      <rPr>
        <sz val="11"/>
        <color rgb="FF000000"/>
        <rFont val="Calibri"/>
        <scheme val="minor"/>
      </rPr>
      <t xml:space="preserve">
</t>
    </r>
    <r>
      <rPr>
        <sz val="11"/>
        <color rgb="FF000000"/>
        <rFont val="Calibri"/>
        <scheme val="minor"/>
      </rPr>
      <t xml:space="preserve">2)	Navigate to the budget in REJECTED BY DOE status, that you want to enter comments for
</t>
    </r>
  </si>
  <si>
    <t>An ECMS Internal User(OD) can enter comments on a "REJECTED BY DOE" Budget so vendors are informed of necessary edits to the budget.</t>
  </si>
  <si>
    <r>
      <rPr>
        <sz val="11"/>
        <color rgb="FF000000"/>
        <rFont val="Calibri"/>
        <scheme val="minor"/>
      </rPr>
      <t xml:space="preserve">
</t>
    </r>
    <r>
      <rPr>
        <sz val="11"/>
        <color rgb="FF000000"/>
        <rFont val="Calibri"/>
        <scheme val="minor"/>
      </rPr>
      <t xml:space="preserve">2)	Navigate to the the budget in REJECTED BY DOE status, that you want to enter comments for
</t>
    </r>
  </si>
  <si>
    <t>An ECMS Internal User(OA) can enter comments on an "amended" Budget so vendors are informed of necessary edits to the budget.</t>
  </si>
  <si>
    <t>A budget is available in the "Amended" status</t>
  </si>
  <si>
    <r>
      <rPr>
        <sz val="11"/>
        <color rgb="FF000000"/>
        <rFont val="Calibri"/>
        <scheme val="minor"/>
      </rPr>
      <t xml:space="preserve">
</t>
    </r>
    <r>
      <rPr>
        <sz val="11"/>
        <color rgb="FF000000"/>
        <rFont val="Calibri"/>
        <scheme val="minor"/>
      </rPr>
      <t xml:space="preserve">2)	Navigate to the budget in AMENDED BUDGET status, that you want to enter comments for
</t>
    </r>
  </si>
  <si>
    <t xml:space="preserve">
5)	Post a comment.Click Share
</t>
  </si>
  <si>
    <t>An ECMS Internal User(OD) can enter comments on an "amended" Budget so vendors are informed of necessary edits to the budget.</t>
  </si>
  <si>
    <t>A Budget is available with status: AMENDED BUDGET</t>
  </si>
  <si>
    <r>
      <rPr>
        <sz val="11"/>
        <color rgb="FF000000"/>
        <rFont val="Calibri"/>
        <scheme val="minor"/>
      </rPr>
      <t xml:space="preserve">
</t>
    </r>
    <r>
      <rPr>
        <sz val="11"/>
        <color rgb="FF000000"/>
        <rFont val="Calibri"/>
        <scheme val="minor"/>
      </rPr>
      <t xml:space="preserve">2)	Navigate to budget in AMENDED BUDGET status, that you want to enter comments for
</t>
    </r>
  </si>
  <si>
    <t>DOEECMS-1930</t>
  </si>
  <si>
    <t>Contact is created with no sites assigned</t>
  </si>
  <si>
    <t>1) Navigate to Budgets on the vendor portal.                                                                                                                                                                                                       2)Click on Create Budgets                                                                                                                                                                                                                   3)Click on New to create a new budget</t>
  </si>
  <si>
    <t>System should display the message : "There are no sites available for you to select for this Contract Type. Please press Cancel to return to the last visited page."</t>
  </si>
  <si>
    <t>Message to notify user no Contract Seats exist when creating budget</t>
  </si>
  <si>
    <t>1) Contact is set up for budget                                                                                      2)Sites are assigned to contact but no contract seats are set up</t>
  </si>
  <si>
    <t xml:space="preserve"> 1) Navigate to Budgets in the external portal.    
2) Click on "New" 
3) Select a Site</t>
  </si>
  <si>
    <t>System should display the following message “There are no Contract Seats associated with the Contract. Please contact the DOE Administration in order to proceed creating the budget"</t>
  </si>
  <si>
    <t>Test to make sure Budget does not exceed authorized funding set up in contract</t>
  </si>
  <si>
    <t>1)Contact is set up for budget                                                                                      
2)New site is created and assigned 
3)Active contract authorizations is set up                                                                    4)Contract Period is set up                                                                    5)Contract Seat is set up</t>
  </si>
  <si>
    <t>1)Navigate to Budgets on the vendor portal.</t>
  </si>
  <si>
    <t>Use views vendor portal</t>
  </si>
  <si>
    <t>2)Click on Create Budgets</t>
  </si>
  <si>
    <t>Budget screen will be displayed</t>
  </si>
  <si>
    <t>Create an active contract for budget</t>
  </si>
  <si>
    <t xml:space="preserve">                                                                                                                                                                                                                                                                                                                                                                                                                   3)Click on New to create a new budget
</t>
  </si>
  <si>
    <t>New Budget screen is displayed</t>
  </si>
  <si>
    <t xml:space="preserve">
4)Enter Budget amount more than contract amount. Click on Save and Close</t>
  </si>
  <si>
    <t xml:space="preserve">Error message is recieved:
The following "item" budgets have exceeded the funding: </t>
  </si>
  <si>
    <t>End to end Budget flow scenario</t>
  </si>
  <si>
    <t>User is logged into the system. User is provisioned to create budgets</t>
  </si>
  <si>
    <t xml:space="preserve">1)Create Staff Contact. Enable ECMS Access to user and enable user functions: Budget Management and Site Management
</t>
  </si>
  <si>
    <t>Contact will get created</t>
  </si>
  <si>
    <t xml:space="preserve">
2)Enable User as Partner by selecting "Profile" as ECMS Community User.
                                                                                                                                              </t>
  </si>
  <si>
    <t>User will get enabled</t>
  </si>
  <si>
    <t>3) Create "Site" for the account by clicking on Site Master- &gt;New.</t>
  </si>
  <si>
    <t>New site master page is displayed.</t>
  </si>
  <si>
    <t xml:space="preserve"> 4)Select account for the site and make site contact as the contact created in the earlier step. Click Save</t>
  </si>
  <si>
    <t>New site will get created.</t>
  </si>
  <si>
    <t xml:space="preserve">5)Create contract for the site by clicking on ""New ECMS Contract"" </t>
  </si>
  <si>
    <t>New ECMS contract page should get displayed</t>
  </si>
  <si>
    <t xml:space="preserve">6)Select contract type, vendor, contract start date as tomorrow and end date as same date next year. </t>
  </si>
  <si>
    <t>Selections should be made</t>
  </si>
  <si>
    <t xml:space="preserve">7)Make status of contract as ""Active""  </t>
  </si>
  <si>
    <t>Contract should become active</t>
  </si>
  <si>
    <t>8)Link the contract to site created in earlier step. Click on ""Save"""</t>
  </si>
  <si>
    <t>Contract should get linked</t>
  </si>
  <si>
    <t>9)Create 2 contract periods within the contract(each for 6 months)</t>
  </si>
  <si>
    <t>Contract period should get created</t>
  </si>
  <si>
    <t>10)Within each contract period, create contract seats.</t>
  </si>
  <si>
    <t>Contract Seats should get created</t>
  </si>
  <si>
    <t xml:space="preserve">11) Create the following 4 site staff for the site.
    a)Vendor Staff (Lead Teacher)
    b)Vendor Staff ( Administrative Staff)
    c)Operations Analyst
    d)Operations Director (c and d have the profile of ECMS Internal User)"
</t>
  </si>
  <si>
    <t>Staff get created</t>
  </si>
  <si>
    <t>12) Provision the main contact to the site that was created in earlier step 3</t>
  </si>
  <si>
    <t>Contact gets provisioned for the new site</t>
  </si>
  <si>
    <t>13)Login to Portal by clicking on ""Login to Experience as User""</t>
  </si>
  <si>
    <t>User gets logged in</t>
  </si>
  <si>
    <t xml:space="preserve">14)Click on Budget and then click on New </t>
  </si>
  <si>
    <t>New budget screen gets displayed</t>
  </si>
  <si>
    <t>15) Fill in all details and save</t>
  </si>
  <si>
    <t>New budget is created</t>
  </si>
  <si>
    <t>16)Submit the budget for approval</t>
  </si>
  <si>
    <t>Budget gets submitted for approval</t>
  </si>
  <si>
    <t>17) Approve the budget as OA</t>
  </si>
  <si>
    <t>The budget gets approved by OA</t>
  </si>
  <si>
    <t>18) Approve the budget as OD</t>
  </si>
  <si>
    <t>The budget gets approved by OD</t>
  </si>
  <si>
    <t>19) Amend the budget</t>
  </si>
  <si>
    <t>The budget gets amended as required</t>
  </si>
  <si>
    <r>
      <rPr>
        <sz val="11"/>
        <color rgb="FF000000"/>
        <rFont val="Calibri"/>
        <scheme val="minor"/>
      </rPr>
      <t xml:space="preserve">Test Case to add Classes to a </t>
    </r>
    <r>
      <rPr>
        <b/>
        <sz val="11"/>
        <color rgb="FF000000"/>
        <rFont val="Calibri"/>
        <scheme val="minor"/>
      </rPr>
      <t xml:space="preserve">draft </t>
    </r>
    <r>
      <rPr>
        <sz val="11"/>
        <color rgb="FF000000"/>
        <rFont val="Calibri"/>
        <scheme val="minor"/>
      </rPr>
      <t>budget</t>
    </r>
  </si>
  <si>
    <t>Budget is saved in the system</t>
  </si>
  <si>
    <t>1) Login to portal as experience user</t>
  </si>
  <si>
    <t>2)Navigate to Budgets on the vendor portal.</t>
  </si>
  <si>
    <t>User navigates to budget</t>
  </si>
  <si>
    <t>Budget- Adding Classes</t>
  </si>
  <si>
    <t xml:space="preserve">3)Click “Add Classes” quick action on draft budget
</t>
  </si>
  <si>
    <t>Manage Budget Classes screen is displayed</t>
  </si>
  <si>
    <t xml:space="preserve">
4)Add classes for the site related to this budget from the class master by clicking "Add Budget Class". This link would be available only when new site classes are available for adding from "Create New Site Class" section.</t>
  </si>
  <si>
    <t>"Create New Budget Class" screen is displayed</t>
  </si>
  <si>
    <t>5)Enter Class Code- Name
Fill in values for Room Number, Capacity, Minimum Required Staff, Day Length, Dual Language Option and Seat Master.</t>
  </si>
  <si>
    <t>Values are entered</t>
  </si>
  <si>
    <r>
      <rPr>
        <sz val="11"/>
        <color rgb="FF000000"/>
        <rFont val="Calibri"/>
        <scheme val="minor"/>
      </rPr>
      <t xml:space="preserve">
</t>
    </r>
    <r>
      <rPr>
        <sz val="11"/>
        <color rgb="FF000000"/>
        <rFont val="Calibri"/>
        <scheme val="minor"/>
      </rPr>
      <t xml:space="preserve">
</t>
    </r>
    <r>
      <rPr>
        <sz val="11"/>
        <color rgb="FF000000"/>
        <rFont val="Calibri"/>
        <scheme val="minor"/>
      </rPr>
      <t>6)Click on Save</t>
    </r>
  </si>
  <si>
    <t>Class should get created</t>
  </si>
  <si>
    <r>
      <rPr>
        <sz val="11"/>
        <color rgb="FF000000"/>
        <rFont val="Calibri"/>
        <scheme val="minor"/>
      </rPr>
      <t xml:space="preserve">Test Case to add Classes to a </t>
    </r>
    <r>
      <rPr>
        <b/>
        <sz val="11"/>
        <color rgb="FF000000"/>
        <rFont val="Calibri"/>
        <scheme val="minor"/>
      </rPr>
      <t xml:space="preserve">Rejected </t>
    </r>
    <r>
      <rPr>
        <sz val="11"/>
        <color rgb="FF000000"/>
        <rFont val="Calibri"/>
        <scheme val="minor"/>
      </rPr>
      <t>budget</t>
    </r>
  </si>
  <si>
    <t>3)Add classes for the site related to this budget from the class master</t>
  </si>
  <si>
    <t xml:space="preserve">
4)Enter Class Code- Name. Fill in values for Room Number, Capacity, Minimum Required Staff, Day Length, Dual Language Option and Seat Master.
</t>
  </si>
  <si>
    <t>5)Click on Save</t>
  </si>
  <si>
    <t>Create budget without adding Classes or Line Items</t>
  </si>
  <si>
    <r>
      <rPr>
        <sz val="11"/>
        <color rgb="FF000000"/>
        <rFont val="Calibri"/>
        <scheme val="minor"/>
      </rPr>
      <t xml:space="preserve">
</t>
    </r>
    <r>
      <rPr>
        <sz val="11"/>
        <color rgb="FF000000"/>
        <rFont val="Calibri"/>
        <scheme val="minor"/>
      </rPr>
      <t>2)Click on "Submit Budget" , without adding any Classes or Line Items.</t>
    </r>
  </si>
  <si>
    <t>Budget does not get submitted. Message should be displayed on the screen: "Classes have not been added to the budget - Please add at least one Class to the Budget before submitting.
Line Items have not been added to the budget - Please enter line items on the budget prior to submitting. On the budget, go to the Update Line Items to enter the line items."</t>
  </si>
  <si>
    <t>Create budget without adding Line Items</t>
  </si>
  <si>
    <t>Budget is saved in the system. Classes have been added to the budget</t>
  </si>
  <si>
    <t>Budget- Adding Line Items</t>
  </si>
  <si>
    <r>
      <rPr>
        <sz val="11"/>
        <color rgb="FF000000"/>
        <rFont val="Calibri"/>
        <scheme val="minor"/>
      </rPr>
      <t xml:space="preserve">
</t>
    </r>
    <r>
      <rPr>
        <sz val="11"/>
        <color rgb="FF000000"/>
        <rFont val="Calibri"/>
        <scheme val="minor"/>
      </rPr>
      <t>2)Click on "Submit Budget" , without adding any Line Items.</t>
    </r>
  </si>
  <si>
    <t>Budget does not get submitted. Message should be displayed on the screen: "
Line Items have not been added to the budget - Please enter line items on the budget prior to submitting. On the budget, go to the Update Line Items to enter the line items."</t>
  </si>
  <si>
    <t xml:space="preserve">Budget Submission </t>
  </si>
  <si>
    <t>1)Navigate to Saved Budgets on the vendor portal.</t>
  </si>
  <si>
    <t>2)Add classes for the site related to this budget from the class master</t>
  </si>
  <si>
    <t>Classes should get added</t>
  </si>
  <si>
    <t xml:space="preserve">
3)Add Line items to the budget by clicking on "Update Line Items" and entering required values.</t>
  </si>
  <si>
    <t>Line items should get added</t>
  </si>
  <si>
    <t>Complete Budget submission flow</t>
  </si>
  <si>
    <t>4)Click on Submit</t>
  </si>
  <si>
    <t>Budget should get submitted in the system.</t>
  </si>
  <si>
    <t>Budget approval</t>
  </si>
  <si>
    <t>Budget is Saved in the system with Class information and Line Items updated.</t>
  </si>
  <si>
    <t>Submit the Budget for approval in the system</t>
  </si>
  <si>
    <t>Status for budget will show as "Pending Approval"</t>
  </si>
  <si>
    <t>Budget approval by Operations Analyst</t>
  </si>
  <si>
    <t xml:space="preserve">Budget has been submitted for Approval </t>
  </si>
  <si>
    <r>
      <rPr>
        <sz val="11"/>
        <color rgb="FF000000"/>
        <rFont val="Calibri"/>
        <scheme val="minor"/>
      </rPr>
      <t xml:space="preserve">
</t>
    </r>
    <r>
      <rPr>
        <sz val="11"/>
        <color rgb="FF000000"/>
        <rFont val="Calibri"/>
        <scheme val="minor"/>
      </rPr>
      <t xml:space="preserve">2) Click on notification for approval of budget
</t>
    </r>
  </si>
  <si>
    <t>Notification gets displayed</t>
  </si>
  <si>
    <t xml:space="preserve">
3) Click on "Approve" button</t>
  </si>
  <si>
    <t>Status for Budget Approval will show as "Pending"</t>
  </si>
  <si>
    <t>Budget approval by Operations Director</t>
  </si>
  <si>
    <t>Budget has been submitted for Approval by Operations Analyst</t>
  </si>
  <si>
    <t>1) Login to Salesforce as Operations Director</t>
  </si>
  <si>
    <t>Status for the Budget in Salesforce will change to Approved. External System will show the status as "Approved by DOE"</t>
  </si>
  <si>
    <t>1)Login in to portal as Vendor staff and try to create a new Budget.</t>
  </si>
  <si>
    <t>Verify Vendor should be able to submit a Budget for Approval after updating Line items</t>
  </si>
  <si>
    <t xml:space="preserve">2)When budget is in saved status, update the line items
</t>
  </si>
  <si>
    <t>Line items will get updated</t>
  </si>
  <si>
    <t>3)After clicking on save and close, click on Submit budget</t>
  </si>
  <si>
    <t>4)Updated line items are not saved and unable to submit budget for approval</t>
  </si>
  <si>
    <t>Updated line items should be saved and budget should be submitted successfully</t>
  </si>
  <si>
    <t>Budget already exists for the site</t>
  </si>
  <si>
    <t>Creation of a budget when there an approved budget already exists for the site</t>
  </si>
  <si>
    <t>An approved budget exists for the site and user is provisioned to create budgets</t>
  </si>
  <si>
    <t xml:space="preserve">1) Login to portal as Vendor Admin
</t>
  </si>
  <si>
    <t>2) Try to create a budget</t>
  </si>
  <si>
    <t>Vendor should not be able to create budget</t>
  </si>
  <si>
    <t>System shouldn not allow creating budgets for ended contract period</t>
  </si>
  <si>
    <t>An ended contract exists for the site and user is provisioned to create budgets</t>
  </si>
  <si>
    <t>1) Login to portal as Vendor Admin</t>
  </si>
  <si>
    <r>
      <rPr>
        <sz val="11"/>
        <color rgb="FF000000"/>
        <rFont val="Calibri"/>
        <scheme val="minor"/>
      </rPr>
      <t xml:space="preserve">
</t>
    </r>
    <r>
      <rPr>
        <sz val="11"/>
        <color rgb="FF000000"/>
        <rFont val="Calibri"/>
        <scheme val="minor"/>
      </rPr>
      <t>2) Try to create a budget</t>
    </r>
  </si>
  <si>
    <t>Verify that vendor admin is not able to create budget for inactive site</t>
  </si>
  <si>
    <t>Site is inactive and user is provisioned to create budgets.</t>
  </si>
  <si>
    <t xml:space="preserve"> Verify that a Draft budget allows editing line items</t>
  </si>
  <si>
    <t>A draft budget exists for the site and user is provisioned to create budgets</t>
  </si>
  <si>
    <t>1) Login to the portal as Vendor Admin</t>
  </si>
  <si>
    <r>
      <rPr>
        <sz val="11"/>
        <color rgb="FF000000"/>
        <rFont val="Calibri"/>
        <scheme val="minor"/>
      </rPr>
      <t xml:space="preserve">
</t>
    </r>
    <r>
      <rPr>
        <sz val="11"/>
        <color rgb="FF000000"/>
        <rFont val="Calibri"/>
        <scheme val="minor"/>
      </rPr>
      <t>2) Edit the draft budget</t>
    </r>
  </si>
  <si>
    <t>Line items can be edited</t>
  </si>
  <si>
    <t>Verify that a vendor user provisioned only as Checklist Manager cannot see budget tab on experience site</t>
  </si>
  <si>
    <t xml:space="preserve">User is provisioned only as Checklist Manager </t>
  </si>
  <si>
    <t>Login to experience and note the tabs visible.</t>
  </si>
  <si>
    <t>Vendor should not able to see the budget tab on the experience site.</t>
  </si>
  <si>
    <t>Verify that a user provisioned only as Student Screening cannot see budget tab on experience site</t>
  </si>
  <si>
    <t xml:space="preserve">User is provisioned only for Student screening </t>
  </si>
  <si>
    <t>Verify that a user provisioned only as Attendance Management cannot see budget tab on experience site</t>
  </si>
  <si>
    <t xml:space="preserve">User is provisioned only as Attendance Management </t>
  </si>
  <si>
    <t>Verify that a user provisioned only as Enrollment Management cannot see budget tab on experience site</t>
  </si>
  <si>
    <t xml:space="preserve">User is provisioned only as Enrollment Management </t>
  </si>
  <si>
    <t>Verify that a user provisioned only as Classroom Management cannot see budget tab on experience site</t>
  </si>
  <si>
    <t xml:space="preserve">User is provisioned only as Classroom Management </t>
  </si>
  <si>
    <t>Verify that a user provisioned only as Invoice Management cannot see budget tab on experience site</t>
  </si>
  <si>
    <t xml:space="preserve">User is provisioned only as Invoice Management </t>
  </si>
  <si>
    <t>Verify that a user provisioned only for Site Management cannot see budget tab on experience site</t>
  </si>
  <si>
    <t xml:space="preserve">User is provisioned only as Site Management </t>
  </si>
  <si>
    <t>Verify that a user provisioned only as Vendor Management cannot see budget tab on experience site</t>
  </si>
  <si>
    <t xml:space="preserve">User is provisioned only for Vendor Management </t>
  </si>
  <si>
    <r>
      <rPr>
        <sz val="11"/>
        <color rgb="FF000000"/>
        <rFont val="Calibri"/>
        <scheme val="minor"/>
      </rPr>
      <t>Verify that the user can upload documents to a budget from "</t>
    </r>
    <r>
      <rPr>
        <b/>
        <sz val="11"/>
        <color rgb="FF000000"/>
        <rFont val="Calibri"/>
        <scheme val="minor"/>
      </rPr>
      <t>Upload File</t>
    </r>
    <r>
      <rPr>
        <sz val="11"/>
        <color rgb="FF000000"/>
        <rFont val="Calibri"/>
        <scheme val="minor"/>
      </rPr>
      <t>" option</t>
    </r>
  </si>
  <si>
    <t>User is provisioned to create budgets and logged in into the experience site</t>
  </si>
  <si>
    <t>1) Click on the budget.</t>
  </si>
  <si>
    <t>Budget should be displayed</t>
  </si>
  <si>
    <r>
      <rPr>
        <sz val="11"/>
        <color rgb="FF000000"/>
        <rFont val="Calibri"/>
        <scheme val="minor"/>
      </rPr>
      <t xml:space="preserve">
</t>
    </r>
    <r>
      <rPr>
        <sz val="11"/>
        <color rgb="FF000000"/>
        <rFont val="Calibri"/>
        <scheme val="minor"/>
      </rPr>
      <t>2) Click on Upload Supporting Document</t>
    </r>
  </si>
  <si>
    <t>Upload Supporting Document screen should get displayed</t>
  </si>
  <si>
    <t>3) Enter the title of the document</t>
  </si>
  <si>
    <t>Document Title can be entered</t>
  </si>
  <si>
    <t>4) Select the content type of the document</t>
  </si>
  <si>
    <t>Content Type can be selected.</t>
  </si>
  <si>
    <t>5) Click on next</t>
  </si>
  <si>
    <t>"Upload Supporting Document" screen should get displayed.</t>
  </si>
  <si>
    <t>6) Click on "upload file"</t>
  </si>
  <si>
    <t>Document upload screen should open.</t>
  </si>
  <si>
    <t xml:space="preserve">
7) Select the file that you would like to upload and click Next
</t>
  </si>
  <si>
    <t>Document should get uploaded. Message should be displayed: "The file has been uploaded successfully!"</t>
  </si>
  <si>
    <t>8) Click on Documents tab on the budget screen and verify presence of document uploaded.</t>
  </si>
  <si>
    <t>The document should be present on the tab</t>
  </si>
  <si>
    <r>
      <rPr>
        <sz val="11"/>
        <color rgb="FF000000"/>
        <rFont val="Calibri"/>
        <scheme val="minor"/>
      </rPr>
      <t>Verify that the user can upload documents to a budget from "</t>
    </r>
    <r>
      <rPr>
        <b/>
        <sz val="11"/>
        <color rgb="FF000000"/>
        <rFont val="Calibri"/>
        <scheme val="minor"/>
      </rPr>
      <t>Drop File</t>
    </r>
    <r>
      <rPr>
        <sz val="11"/>
        <color rgb="FF000000"/>
        <rFont val="Calibri"/>
        <scheme val="minor"/>
      </rPr>
      <t>" option</t>
    </r>
  </si>
  <si>
    <t xml:space="preserve">
5) Click on next
</t>
  </si>
  <si>
    <t xml:space="preserve">
6) Click on "Or Drop File"
</t>
  </si>
  <si>
    <t xml:space="preserve">
7) Drop the file that you would like to upload and click Next.
</t>
  </si>
  <si>
    <t>Verify that the user can add classes to a the set of classes available for the budget</t>
  </si>
  <si>
    <t>2) Click on Add Classes</t>
  </si>
  <si>
    <t xml:space="preserve"> 'Manage Budget Classes' screen should be displayed</t>
  </si>
  <si>
    <t>3) Click the "Create New Site Class" link</t>
  </si>
  <si>
    <t xml:space="preserve"> 'Create New Class ' screen should be displayed</t>
  </si>
  <si>
    <t>4)  Enter Class details and click Save</t>
  </si>
  <si>
    <t>The class should get saved under the section "Classes Available for Budget"</t>
  </si>
  <si>
    <t xml:space="preserve">
5) Click on Add Budget Class. 
</t>
  </si>
  <si>
    <t>Create New Budget Class' should get displayed.</t>
  </si>
  <si>
    <t>6) Fill in all details and select a class from the class dropdown. Click Save.</t>
  </si>
  <si>
    <t>User should be able to add classes to the budget. The class should now be displayed under the "Classes Included in Budget" section</t>
  </si>
  <si>
    <t>Confirm that Contract Type is autofilled based on budget</t>
  </si>
  <si>
    <t>1) Click on the required budget.</t>
  </si>
  <si>
    <t>Budget should get displayed</t>
  </si>
  <si>
    <r>
      <rPr>
        <sz val="11"/>
        <color rgb="FF000000"/>
        <rFont val="Calibri"/>
        <scheme val="minor"/>
      </rPr>
      <t xml:space="preserve">
</t>
    </r>
    <r>
      <rPr>
        <sz val="11"/>
        <color rgb="FF000000"/>
        <rFont val="Calibri"/>
        <scheme val="minor"/>
      </rPr>
      <t>2) Click on Add Classes</t>
    </r>
  </si>
  <si>
    <t>Manage Budget Classes' screen should get displayed</t>
  </si>
  <si>
    <t xml:space="preserve">
3) Click the "Create New Site Class" link.
</t>
  </si>
  <si>
    <t>Create New Class' screen is displayed</t>
  </si>
  <si>
    <t>4) Notice the Contract Type.</t>
  </si>
  <si>
    <t>Contract Type should be autofilled based on the budget. It can be confirmed from the backend.</t>
  </si>
  <si>
    <t>Confirm that Seat Types are correctly displayed in Class Details in budgets</t>
  </si>
  <si>
    <t xml:space="preserve">
4) Notice the Seat-Types listed in the Seat- Master section</t>
  </si>
  <si>
    <t>Seat types displayed should only be the ones that are aligned to the Contract Period for the budget</t>
  </si>
  <si>
    <r>
      <rPr>
        <sz val="11"/>
        <color rgb="FF000000"/>
        <rFont val="Calibri"/>
        <scheme val="minor"/>
      </rPr>
      <t xml:space="preserve">Verify that the vendor user can view only the classes in the set of classes </t>
    </r>
    <r>
      <rPr>
        <b/>
        <sz val="11"/>
        <color rgb="FF000000"/>
        <rFont val="Calibri"/>
        <scheme val="minor"/>
      </rPr>
      <t xml:space="preserve">available </t>
    </r>
    <r>
      <rPr>
        <sz val="11"/>
        <color rgb="FF000000"/>
        <rFont val="Calibri"/>
        <scheme val="minor"/>
      </rPr>
      <t xml:space="preserve">for budget for adding to the set of Classes </t>
    </r>
    <r>
      <rPr>
        <b/>
        <sz val="11"/>
        <color rgb="FF000000"/>
        <rFont val="Calibri"/>
        <scheme val="minor"/>
      </rPr>
      <t xml:space="preserve">Included </t>
    </r>
    <r>
      <rPr>
        <sz val="11"/>
        <color rgb="FF000000"/>
        <rFont val="Calibri"/>
        <scheme val="minor"/>
      </rPr>
      <t>in Budget</t>
    </r>
  </si>
  <si>
    <t xml:space="preserve">User is provisioned to create budgets and logged in into the experience site
</t>
  </si>
  <si>
    <t xml:space="preserve">1)Click on the budget.
</t>
  </si>
  <si>
    <t>3) View the 'Classes Available for Budget' section</t>
  </si>
  <si>
    <t>Classs will be listed already or will get listed after adding new classes.</t>
  </si>
  <si>
    <t>4) Click on 'Add Budget Class'</t>
  </si>
  <si>
    <t>Create New Budget Class' screen will open</t>
  </si>
  <si>
    <t xml:space="preserve">5) Click on the "Class" dropdown and view the options available in the dropdown.
</t>
  </si>
  <si>
    <r>
      <rPr>
        <sz val="11"/>
        <color rgb="FF000000"/>
        <rFont val="Calibri"/>
        <scheme val="minor"/>
      </rPr>
      <t xml:space="preserve">The user can view only the classes in the set of </t>
    </r>
    <r>
      <rPr>
        <b/>
        <sz val="11"/>
        <color rgb="FF000000"/>
        <rFont val="Calibri"/>
        <scheme val="minor"/>
      </rPr>
      <t>classes available for budget</t>
    </r>
    <r>
      <rPr>
        <sz val="11"/>
        <color rgb="FF000000"/>
        <rFont val="Calibri"/>
        <scheme val="minor"/>
      </rPr>
      <t xml:space="preserve"> for adding to the set of </t>
    </r>
    <r>
      <rPr>
        <b/>
        <sz val="11"/>
        <color rgb="FF000000"/>
        <rFont val="Calibri"/>
        <scheme val="minor"/>
      </rPr>
      <t>Classes Included in Budget</t>
    </r>
  </si>
  <si>
    <r>
      <rPr>
        <sz val="11"/>
        <color rgb="FF000000"/>
        <rFont val="Calibri"/>
        <scheme val="minor"/>
      </rPr>
      <t xml:space="preserve">Verify that the vendor user can add classes from the set of classes </t>
    </r>
    <r>
      <rPr>
        <b/>
        <sz val="11"/>
        <color rgb="FF000000"/>
        <rFont val="Calibri"/>
        <scheme val="minor"/>
      </rPr>
      <t xml:space="preserve">available </t>
    </r>
    <r>
      <rPr>
        <sz val="11"/>
        <color rgb="FF000000"/>
        <rFont val="Calibri"/>
        <scheme val="minor"/>
      </rPr>
      <t xml:space="preserve">for the budget to the set of Classes </t>
    </r>
    <r>
      <rPr>
        <b/>
        <sz val="11"/>
        <color rgb="FF000000"/>
        <rFont val="Calibri"/>
        <scheme val="minor"/>
      </rPr>
      <t xml:space="preserve">Included </t>
    </r>
    <r>
      <rPr>
        <sz val="11"/>
        <color rgb="FF000000"/>
        <rFont val="Calibri"/>
        <scheme val="minor"/>
      </rPr>
      <t>in Budget</t>
    </r>
  </si>
  <si>
    <t>3) Click the ""Add Budget Class"" link</t>
  </si>
  <si>
    <t xml:space="preserve">
4) Click on the "Class" dropdown. Select the desired option available in the "Class" dropdown. Enter the other details as required.Click on "Save"</t>
  </si>
  <si>
    <t>The Class should get saved under the section "Classes Included in Budget"</t>
  </si>
  <si>
    <t>Add Budget Line Items-Administrative Costs</t>
  </si>
  <si>
    <t>Login to Portal as Vendor
Open Saved Budget → Click on Update Line Items → OTPS - Administrative Costs → Add Item  --&gt;Enter only ‘# of Items’ → Save</t>
  </si>
  <si>
    <t>When Line items are added on Administrative Costs, receiving successful message but record is not displayed on Portal. Added record should display under Items.</t>
  </si>
  <si>
    <t>Medium</t>
  </si>
  <si>
    <t>https://prutech.atlassian.net/browse/DOEECMS-2075</t>
  </si>
  <si>
    <t>When Line items are added on Administrative 
Costs, receiving successful message but record is 
not displayed on Portal. But it is getting created at backend.</t>
  </si>
  <si>
    <t>Verify that the vendor user can edit Budget Line Items- Administrative costs</t>
  </si>
  <si>
    <t>1) Click on the budget and click on Update Line Items</t>
  </si>
  <si>
    <t>SHOULD WE HAVE A NAME FOR THIS SCREEN</t>
  </si>
  <si>
    <t xml:space="preserve">
2) Click on the tab for OTPS Administrative costs. Enter values as desired and click 'Save'.</t>
  </si>
  <si>
    <t>Changes made should get saved in the system</t>
  </si>
  <si>
    <t>Verify that the vendor user can edit Budget Line Items - Facility costs</t>
  </si>
  <si>
    <t xml:space="preserve">
2) Click on the tab for OTPS Facility costs. Enter values as desired and click 'Save'.</t>
  </si>
  <si>
    <t>Verify that the vendor user can edit Budget Line Items - Goods and Services costs</t>
  </si>
  <si>
    <t xml:space="preserve">
2) Click on the tab for OTPS Goods and Services costs. Enter values as desired and click 'Save'.</t>
  </si>
  <si>
    <t>Verify that the vendor user can edit Budget Line Items - Instructional costs</t>
  </si>
  <si>
    <t xml:space="preserve">
2) Click on the tab for OTPS Instructional costs. Enter values as desired and click 'Save'.</t>
  </si>
  <si>
    <t>Verify that the vendor user can edit Budget Line Items - Indirect and Fringe cost</t>
  </si>
  <si>
    <t xml:space="preserve">
2) Click on the tab for OTPS Indirect and Fringe costs. Enter values as desired and click 'Save'.</t>
  </si>
  <si>
    <t>Verify that the vendor user can edit Budget Line Items - Staff Salaries and Wages</t>
  </si>
  <si>
    <t xml:space="preserve">
2) Click on the tab for OTPS Staff Salaries and Wages. Enter values as desired and click 'Save'.</t>
  </si>
  <si>
    <t>Verify that vendor user can fill in items with details( BA working on detailed requirements/calculations(Defect 2075-blocked for GH response)</t>
  </si>
  <si>
    <t>User is provisioned to create budgets</t>
  </si>
  <si>
    <t>Verify that vendor can edit Budget Program Calendar</t>
  </si>
  <si>
    <t xml:space="preserve">1) Click on the budget </t>
  </si>
  <si>
    <t>2) Click on the tab for 'Service Days'</t>
  </si>
  <si>
    <t>Calendar screen should get displayed</t>
  </si>
  <si>
    <t xml:space="preserve">3) Within the calendar, click on the desired date.
</t>
  </si>
  <si>
    <t>New Scheduling Event' screen should get displayed.</t>
  </si>
  <si>
    <t xml:space="preserve">4)Select the 'Service Day Type'  from the drop-down menu.
Click 'Save.'
</t>
  </si>
  <si>
    <t>Scheduled Event will get displayed with the details about Service Days : type and total</t>
  </si>
  <si>
    <t>5) Click on the calendar date to edit the event from earlier step</t>
  </si>
  <si>
    <t>Edit Scheduling Event' pop up screen should get displayed</t>
  </si>
  <si>
    <t>6) Make changes as required.</t>
  </si>
  <si>
    <t>Changes will get saved.</t>
  </si>
  <si>
    <t>7) Click on the calendar date from the earlier step. Click 'Delete'. Click 'OK' on the confirmation screen.</t>
  </si>
  <si>
    <t>Event deleted successfully' message should get displayed.</t>
  </si>
  <si>
    <t>Review a budget as an Internal Admin in SF</t>
  </si>
  <si>
    <t>User is an internal admin and is logged into ECMS application on Salesforce</t>
  </si>
  <si>
    <t>1) Navigate to budgets in Salesforce ECMS application</t>
  </si>
  <si>
    <t>Budgets get listed on the screen</t>
  </si>
  <si>
    <t>2) Click on the budget you wish to review</t>
  </si>
  <si>
    <t>The budget will be displayed on the screen</t>
  </si>
  <si>
    <t>3) Review all data related to the budget. Make changes as required and click 'Save'</t>
  </si>
  <si>
    <t>The changes will get saved.</t>
  </si>
  <si>
    <t>Budget Reassignment as an internal admin in SF</t>
  </si>
  <si>
    <t>Restore a deleted budget as an internal admin in SF</t>
  </si>
  <si>
    <t>Edit the budget program calendar as an internal admin in SF</t>
  </si>
  <si>
    <t>Create New Sites for a vendor as an internal admin in SF</t>
  </si>
  <si>
    <t>Total # of Test cases</t>
  </si>
  <si>
    <t>TestType</t>
  </si>
  <si>
    <t>Verify Vendor Admin can see Incident report Tab on external portal</t>
  </si>
  <si>
    <t>Incident Report</t>
  </si>
  <si>
    <t>Login as a Vendor Admin user</t>
  </si>
  <si>
    <t>Vendor successfully logged in</t>
  </si>
  <si>
    <t xml:space="preserve">Navigate to “More” menu tab
</t>
  </si>
  <si>
    <t>Report Incident” option is visible and clickable</t>
  </si>
  <si>
    <t>Verify - Report Incident should not be visible for Non Admin user</t>
  </si>
  <si>
    <t>Login as a Non Admin user
Navigate to “More” menu tab</t>
  </si>
  <si>
    <t>ECMS Create &amp; Update Enrollment
ECMS External Manage Budgets
ECMS Manage Budgets</t>
  </si>
  <si>
    <t>Report Incident” option should not be visible.</t>
  </si>
  <si>
    <t>Verify Vendor Admin should be able to submit an incident and Verify Subject, Category, Concern, Incident Date are marked required</t>
  </si>
  <si>
    <t xml:space="preserve">Click Submit </t>
  </si>
  <si>
    <t>Confirm system should respond with an error message " These required fields must be completed: Concern, Incident Date, Subject"</t>
  </si>
  <si>
    <t>Populate all the require fields and upload a PDF document</t>
  </si>
  <si>
    <t>Confirm document is uploaded successfully</t>
  </si>
  <si>
    <t xml:space="preserve">Verify Incident Intake Team member should be able to create an Incident in Salesforce.
</t>
  </si>
  <si>
    <t xml:space="preserve">Navigate to Incident Case Tab 
Verify default status = New
Navigate to Incident Case Tab 
CLICK + </t>
  </si>
  <si>
    <t>Confirm new page is displayed</t>
  </si>
  <si>
    <t>Click Save</t>
  </si>
  <si>
    <t>Confirm A new incident case is created successfully</t>
  </si>
  <si>
    <t>Verify System should notify Team member if escalation level 1 case is not updated within last 24 hrs.</t>
  </si>
  <si>
    <t>Case Notification</t>
  </si>
  <si>
    <t>Verify a new incident case should be created when send via email</t>
  </si>
  <si>
    <t>Incident Management Team Member can select a status stage on Path</t>
  </si>
  <si>
    <t>Update</t>
  </si>
  <si>
    <t>User has Incident Management Team Member access.
An Incident Case record exists and is accessible to the user.
Path is configured on the Case object for the Status field</t>
  </si>
  <si>
    <t xml:space="preserve">Log in as an Incident Management Team Member.
</t>
  </si>
  <si>
    <t>Incident Management Team Member</t>
  </si>
  <si>
    <t>Open any Incident Case record.</t>
  </si>
  <si>
    <t>On the Path component, click a different status stage than the current one.</t>
  </si>
  <si>
    <t>The selected stage becomes highlighted/selected on the Path (ready to be saved).
No errors occur.</t>
  </si>
  <si>
    <t>Escalation Level field is visible and populated for Incident Management Team Member on Incident Case</t>
  </si>
  <si>
    <t>An Incident Case record exists with Escalation Level expected to be populated
The Incident Case record is accessible to both:
System Administrator
Incident Management Team Member
The test user for Incident Management Team Member is assigned the correct profile/permission sets.
Test Data</t>
  </si>
  <si>
    <t xml:space="preserve">Log in as System Administrator.
</t>
  </si>
  <si>
    <t>System Administrator.</t>
  </si>
  <si>
    <t xml:space="preserve">Navigate to Incident Cases and open the test Incident Case record.
</t>
  </si>
  <si>
    <t xml:space="preserve">Verify the Escalation Level field is visible on the page and note the value displayed.
</t>
  </si>
  <si>
    <t>Log out.</t>
  </si>
  <si>
    <t>Log in as Incident Management Team Member.</t>
  </si>
  <si>
    <t>Navigate to Incident Cases and open the same Incident Case record.</t>
  </si>
  <si>
    <t>Verify whether the Escalation Level field is visible on the page and whether it is populated.</t>
  </si>
  <si>
    <t>For Incident Management Team Member, the Escalation Level field is:
Visible on the Incident Case record page (same relevant section as Admin), and
Populated with the correct value (matches expected / matches Admin view).</t>
  </si>
  <si>
    <t>Verify Salesforce Case Record Validation</t>
  </si>
  <si>
    <t>Submit incident from portal.</t>
  </si>
  <si>
    <t>Login to Salesforce backend</t>
  </si>
  <si>
    <t>Search for newly created Case.</t>
  </si>
  <si>
    <t>Case record exists.
Case fields populated correctly:
Subject
Category
Concern
Incident Date
Case Origin = Experience Portal
Contact &amp; Account linked correctly.</t>
  </si>
  <si>
    <t>Verify Incident Ownership / PSG Assignment</t>
  </si>
  <si>
    <t>Incident Ownership / PSG Assignment</t>
  </si>
  <si>
    <t>Submit incident.
Open case in Salesforce.</t>
  </si>
  <si>
    <t>Case assigned to correct:
Queue OR
Vendor Incident PSG
Ownership matches design.
No incorrect manual owner.</t>
  </si>
  <si>
    <t xml:space="preserve">Verify non Admin user should not be able to create an Incident
</t>
  </si>
  <si>
    <t>Negative Test – Non Vendor Admin User</t>
  </si>
  <si>
    <t>Login as standard Experience user.
Attempt direct URL access to Incident page.</t>
  </si>
  <si>
    <t>Access denied OR
Redirected to homepage.
No backend record created.</t>
  </si>
  <si>
    <t>Verify Create Incident via Email (Email-to-Case) Gets created successfully</t>
  </si>
  <si>
    <t>Email-to-Case</t>
  </si>
  <si>
    <t>Email-to-Case configured.
ECMS intake address active.</t>
  </si>
  <si>
    <t>Send email to ECMS intake address.
Include:
Subject
Description</t>
  </si>
  <si>
    <t>Case automatically created in Salesforce.
Case Origin = Email
Subject populated from email subject.
Description populated from email body.
Contact auto-associated (if match found).</t>
  </si>
  <si>
    <t>Verify ECMS Incident Intake Team should be able to create a case via salesforce,
Create Incident via Salesforce UI</t>
  </si>
  <si>
    <t>Create Incident via Salesforce UI</t>
  </si>
  <si>
    <t xml:space="preserve">Login as Internal User.
Navigate to Cases → New.
</t>
  </si>
  <si>
    <t>Verify system should automatically assign case FCC for FCC Account</t>
  </si>
  <si>
    <t>Auto-Routing to Intake Team</t>
  </si>
  <si>
    <t>Select Record Type.
Enter:
Account
Site
Subject
Category
Click Save.</t>
  </si>
  <si>
    <t>Case successfully created.
Record saved without errors.
Routed automatically to Intake Team FCC</t>
  </si>
  <si>
    <t>Verify system should automatically assign case to Intake Team for  CBO Account</t>
  </si>
  <si>
    <t>Case successfully created.
Record saved without errors.
Routed automatically to Intake Team TCO</t>
  </si>
  <si>
    <t>Verify Escalation Level Auto Calculation, 
Create case that qualifies for Escalation Level 1</t>
  </si>
  <si>
    <t>Escalation Level 1 Trigger</t>
  </si>
  <si>
    <t>Escalation Level updated to Level 1.
Notification triggered.
Header view reflects escalation status.</t>
  </si>
  <si>
    <t>Verify when an Incident Management Team Update , confirm escalation level changes as per user action</t>
  </si>
  <si>
    <t>Escalation Level change</t>
  </si>
  <si>
    <t>Existing Escalation exist</t>
  </si>
  <si>
    <t>Building and Facility Safety and Security
Facility and Maintenance
Program is seeking to relocate to a new location
CHANGE TO 
Building and Facility Safety and Security
Facility and Maintenance
Infant (under 12 months) room(s) does not have one crib or bassinet per child</t>
  </si>
  <si>
    <t>Confirm Escalation level change to 3</t>
  </si>
  <si>
    <t>Vendor is not able to select site from checklist</t>
  </si>
  <si>
    <t>Login to Portal -&gt;Click on Report Incident 
Fill the Required Fields → Select Account, Site</t>
  </si>
  <si>
    <t>Vendor Should be able to select site from the Checklist sites</t>
  </si>
  <si>
    <t>Vendor is not able to select site</t>
  </si>
  <si>
    <t>https://prutech.atlassian.net/browse/DOEECMS-2066</t>
  </si>
  <si>
    <t>Some fields are missing in Incident report case</t>
  </si>
  <si>
    <t>Login to Portal as CBO User
Click on Report Incident → create new incidence report and save
Issue 1 : 
Compare the Case in Portal and backend,
 In additional Information there are less feilds in backend compare to Portal some fields are missing
Issue 2 : 
In backend We can see here Addtional Field is not there in Portal case form</t>
  </si>
  <si>
    <t>In both the Cases form should display the same feilds</t>
  </si>
  <si>
    <t>working as Fine</t>
  </si>
  <si>
    <t>https://prutech.atlassian.net/browse/DOEECMS-2061</t>
  </si>
  <si>
    <t>Account, site, subject are missing on Incident Cases</t>
  </si>
  <si>
    <t xml:space="preserve">Login to SF org as ECMS Intake Team Administrator
Go to Incident Cases → Create New/Open which are already created.
</t>
  </si>
  <si>
    <t>User should be able to see all the fields like Account, site, subject etc..
In Portal, User is able to see all the fields while creating but in salesforce org these fields were missing.</t>
  </si>
  <si>
    <t>https://prutech.atlassian.net/browse/DOEECMS-2060</t>
  </si>
  <si>
    <t xml:space="preserve">Account name is not a mandatory field but still getting error when trying to submit an Incident
</t>
  </si>
  <si>
    <t xml:space="preserve">Log into Portal as FCCN User
Click on Report Incident → Fill all the mandatory fields and Save. 
Note: Account and Site are not mandatory </t>
  </si>
  <si>
    <t xml:space="preserve"> User should be able to submit Incident successfully but 
receiving error.</t>
  </si>
  <si>
    <t>https://prutech.atlassian.net/browse/DOEECMS-2059</t>
  </si>
  <si>
    <t xml:space="preserve">Verify external userECMS_External_Checklist_Viewers PSG should only be allowed to populate checklist items and should not be allowed to change/update at the checklist template level </t>
  </si>
  <si>
    <t>External user exists with ECMS_External_Checklist_Viewers PSG; at least one checklist is assigned to the user.</t>
  </si>
  <si>
    <t>Login as external user → Navigate to Checklists</t>
  </si>
  <si>
    <t>Assigned checklist opens successfully</t>
  </si>
  <si>
    <t>https://prutech.atlassian.net/browse/DOEECMS-1921</t>
  </si>
  <si>
    <t xml:space="preserve">User click Edit and attempt to edit
CHECKLIST Name, Owner, Envelope section, </t>
  </si>
  <si>
    <t>Confirm system should not allow user to edit</t>
  </si>
  <si>
    <t>Now user populate Checklist items</t>
  </si>
  <si>
    <t>Confirm system should allow user to populate</t>
  </si>
  <si>
    <t>Verify internal manager can create Checklisttemplates, author items, activate, assign, review, close/archive/reassign.</t>
  </si>
  <si>
    <t>Internal user exists with ECMS_Internal_Checklist_Manager PSG.</t>
  </si>
  <si>
    <t xml:space="preserve">Login as internal manager Launch ECMS App via app launcher
AND Navigate to Checklist Templates  Tab </t>
  </si>
  <si>
    <t>All admin actions available and executed successfully per role permissions.</t>
  </si>
  <si>
    <t>Click New button
And enter Checklist Template Name and Click Save</t>
  </si>
  <si>
    <t>Confirm Checklist Template is created successfully</t>
  </si>
  <si>
    <t>Navigate to Checklist Template Items and click new</t>
  </si>
  <si>
    <t xml:space="preserve">Confirm New Checklist Template Item window should display
Confirm Checkist template field is pre-populated
Confirm 
Question section should have checklist template item label
Required checkbox, Data Type,  Due Date, section should have default due date and due date type field should exist.
</t>
  </si>
  <si>
    <t>Populate the question section and add few questions required and add few questions optional
Select Data type Text
click Save 
Npte:
Repeat this step multiple times depends 
Also add sequences</t>
  </si>
  <si>
    <t>Confirm all required and optional uestions are added successfully</t>
  </si>
  <si>
    <t>Navigate to Checklist Template that you just created and make it Active and click mark as current status</t>
  </si>
  <si>
    <t>Confirm checklist is now ACTIVE</t>
  </si>
  <si>
    <t>Click "Assign Checklist "</t>
  </si>
  <si>
    <t>Confirm Assign checklist page should display with the Checklist Name
Envelope section having 
Respondent User field, Stage field, Notification frequency field and expiry date/time fields</t>
  </si>
  <si>
    <r>
      <rPr>
        <b/>
        <sz val="11"/>
        <color rgb="FF000000"/>
        <rFont val="Calibri"/>
      </rPr>
      <t xml:space="preserve">STEP10:
</t>
    </r>
    <r>
      <rPr>
        <sz val="11"/>
        <color rgb="FF000000"/>
        <rFont val="Calibri"/>
      </rPr>
      <t>select a respondent user who has ECMS_External_Checklist_Viewers PSG 
Populate notification frequency to Hour.
select stage sent to respondent and populate expire date and click send checklists</t>
    </r>
  </si>
  <si>
    <t>Now login as a the same external user ECMS_External_Checklist_Viewers PSG AND Navigate to Checklist tab</t>
  </si>
  <si>
    <t>Confirm the checklist that was just sent should exist</t>
  </si>
  <si>
    <t>Click on the Checklist and navigate to questionaire and click submit without populating the required fields</t>
  </si>
  <si>
    <t>Confirm system should display an error message</t>
  </si>
  <si>
    <t>Wait for an hour and then Navigate to Bell Icon</t>
  </si>
  <si>
    <t>Confirm Bell notification has notfication activated for the user</t>
  </si>
  <si>
    <t xml:space="preserve">User click Mark all as read </t>
  </si>
  <si>
    <t>Confirm all notification should now be removed</t>
  </si>
  <si>
    <t>Now populate all the required fields and optional fields and click Save</t>
  </si>
  <si>
    <t>confirm response is submitted successfully</t>
  </si>
  <si>
    <t>LogOut and login again</t>
  </si>
  <si>
    <t>Confirm user is successfully logged in again</t>
  </si>
  <si>
    <t>Navigate to the same checklist that was saved</t>
  </si>
  <si>
    <t>Confirm save questionaire should be saved and no changes occured</t>
  </si>
  <si>
    <t>Now CLICK sUBMIT</t>
  </si>
  <si>
    <t xml:space="preserve">Confirm system successfully processed the checklist </t>
  </si>
  <si>
    <t>Verify Checklist Manager should be able to view submitted Checklist by the External User</t>
  </si>
  <si>
    <t>Login as a Checklist Manager and navigate to ECMS via app launcher
Then navigate to checklist</t>
  </si>
  <si>
    <t xml:space="preserve">Confirm user land on checklist </t>
  </si>
  <si>
    <t>Select submitted checklist by the external user in scenario 1 (Above)
and Try to Edit User responses</t>
  </si>
  <si>
    <t>Confirm system should not allow user to edit submitted responses</t>
  </si>
  <si>
    <t>Verify non-manager internal user cannot create/activate templates or assign checklists.</t>
  </si>
  <si>
    <t>User without ECMS_Internal_Checklist_Manager PSG.</t>
  </si>
  <si>
    <t>Login as unauthorized user (Login as an Operations Director / operations Analyst.
Navigate to Checklist Via app launcher</t>
  </si>
  <si>
    <t>Confirm Checklist should not exist</t>
  </si>
  <si>
    <t>https://prutech.atlassian.net/browse/DOEECMS-1922</t>
  </si>
  <si>
    <t>Verify system blocks template save when required fields are missing.</t>
  </si>
  <si>
    <t>Internal manager access.</t>
  </si>
  <si>
    <t xml:space="preserve">Login as a checklist manager AND 
Navigate to Checklist Via app launcher
</t>
  </si>
  <si>
    <t>System display checklist Template page</t>
  </si>
  <si>
    <t>Leave Name/Respondent Type/Dates blank → Save.</t>
  </si>
  <si>
    <t>System shows validation messages; template not saved.</t>
  </si>
  <si>
    <t>Verify Checklist Manager Should NOT be able to create a Checklist if expiration date is selected in the past</t>
  </si>
  <si>
    <t>Login as a Checklist Manager</t>
  </si>
  <si>
    <t>Logged in successfully</t>
  </si>
  <si>
    <t>Launch ECMS via app launcher</t>
  </si>
  <si>
    <t>Navigate to Checklist Tab and click New</t>
  </si>
  <si>
    <t>Confirm Two radio button should display,
From Template
Create a New checklist without Template</t>
  </si>
  <si>
    <t>Select Create a New checklist without Template radio button and click Next</t>
  </si>
  <si>
    <t>Confirm user view Information and envelope section</t>
  </si>
  <si>
    <t>DO not populate any fields and click save draft</t>
  </si>
  <si>
    <t>Confirm system respond with error messages for
Checklist name field, respondent user field, expire date/time field</t>
  </si>
  <si>
    <t xml:space="preserve">Now populate checklist Name field and select respondent user,
Select expire Date / Time in the past and click save </t>
  </si>
  <si>
    <t>Confirm system should respond with an error message not to allow user to create a checklist</t>
  </si>
  <si>
    <t xml:space="preserve">The system currently allows users to clone a checklist template that is expired and inactive. During the cloning process, the system copies the original Expiration Date and Time values into the new checklist record.
As a result, the newly cloned checklist automatically becomes Inactive due to current logic </t>
  </si>
  <si>
    <t>Existing checklist template is expired and marked Inactive
User has Checklist Manager permissions</t>
  </si>
  <si>
    <t>Login as Checklist Manager
Navigate to the Checklist tab</t>
  </si>
  <si>
    <t xml:space="preserve">User lands on checklist </t>
  </si>
  <si>
    <t>Click New</t>
  </si>
  <si>
    <t>checklist page is displayed</t>
  </si>
  <si>
    <t>Select an existing checklist template that is expired and inactive</t>
  </si>
  <si>
    <t>user selection is selected</t>
  </si>
  <si>
    <t>Click the Clone button</t>
  </si>
  <si>
    <t>Checkistem Template is successfully cloned</t>
  </si>
  <si>
    <t>Observe the cloned checklist record</t>
  </si>
  <si>
    <t>The system should prevent cloned checklists from inheriting past expiration date/time values.
When cloning:
The Expiration Date and Time field should either be left blank, OR
The system should prevent past dates from being saved, OR
The system should not automatically mark cloned checklist records as inactive based on inherited past expiration values
The cloned checklist should remain Active unless a valid future expiration date is explicitly set.</t>
  </si>
  <si>
    <t>Verify system enforces date logic: Expiration/Due date must be after Start date.</t>
  </si>
  <si>
    <t>New Template → Set Start Date after Expiration date → Save.</t>
  </si>
  <si>
    <t>Validation error displayed; save blocked.</t>
  </si>
  <si>
    <t>Verify template items can be created with sequencing, label, type, and required flag.</t>
  </si>
  <si>
    <t>Template exists in Draft.</t>
  </si>
  <si>
    <t>Open Draft Template → Add Template Item → Enter Seq, Label, Type, Required → Save item.</t>
  </si>
  <si>
    <t>Item is saved and appears in template item list.</t>
  </si>
  <si>
    <t>Verify multiple items can be added and displayed in correct sequence order.</t>
  </si>
  <si>
    <t xml:space="preserve">Navigate to existing checklist template and add more than 20 Checklist Template Items
</t>
  </si>
  <si>
    <t>Confirm user should be able them successfully</t>
  </si>
  <si>
    <t>Verify Checklist Manager should be able to Add multiple Checklist Template Items</t>
  </si>
  <si>
    <t xml:space="preserve">Navigate to existing Checklist Template and then navigate to checklist Template Item and click New
</t>
  </si>
  <si>
    <t>Verify system blocks item save when required item fields are missing (e.g., Label/Type).</t>
  </si>
  <si>
    <t>Add Template Item → Leave Label/Type blank → Save.</t>
  </si>
  <si>
    <t>Validation error displayed; item not saved.</t>
  </si>
  <si>
    <t>Verify Template cannot be activated when no Checklist Template item exist</t>
  </si>
  <si>
    <t>Navigate to existing Checklist Template and then Change its status from draft to Active and click mark status as complete</t>
  </si>
  <si>
    <t>Confirm system should respond with an error message</t>
  </si>
  <si>
    <t>Verify updating an item persists changes and maintains version/audit trail (if enabled).</t>
  </si>
  <si>
    <t>Template and item exist; versioning/audit enabled.</t>
  </si>
  <si>
    <t>Edit existing item (Label/Required) → Save → Review audit/version history.</t>
  </si>
  <si>
    <t>Changes saved; version/audit entry recorded as expected.</t>
  </si>
  <si>
    <t>Verify activation blocked when no items exist (draft until item exists).</t>
  </si>
  <si>
    <t>Template exists with no items.</t>
  </si>
  <si>
    <t>Open template → Attempt Activate Template.</t>
  </si>
  <si>
    <t>Activation blocked; message indicates items required; template remains Draft.</t>
  </si>
  <si>
    <t>Verify template can be activated when at least one item exists.</t>
  </si>
  <si>
    <t>Template in Draft with ≥1 item.</t>
  </si>
  <si>
    <t>Open template → Review items list → Activate Template (Mark as Active).</t>
  </si>
  <si>
    <t>Template status becomes Active; available for assignment.</t>
  </si>
  <si>
    <t>Verify assignment can be created with respondent, expiry date, and reminder frequency.</t>
  </si>
  <si>
    <t>Active template exists; respondent user exists.</t>
  </si>
  <si>
    <t>Assign Checklist → Select Respondent → Set Expire Date → Set Frequency → Save assignment.</t>
  </si>
  <si>
    <t>Assignment created; schedule is set; respondent sees assigned checklist.</t>
  </si>
  <si>
    <t>Verify system blocks assignment if expire date is in the past or before assignment date.</t>
  </si>
  <si>
    <t>Active template exists.</t>
  </si>
  <si>
    <t>Assign Checklist → Set Expire Date in past → Save.</t>
  </si>
  <si>
    <t>Confirm Checklist Template should be auto inactivated</t>
  </si>
  <si>
    <t>Verify System should send email notification to external user when checklist item is sent</t>
  </si>
  <si>
    <t>Create checklist template with frequency with an hourly and sent to respondent by click sent checklist after selecting a respondent</t>
  </si>
  <si>
    <t>Confirm system should sent the checklist successfully</t>
  </si>
  <si>
    <t xml:space="preserve"> login to external user email </t>
  </si>
  <si>
    <t>Confirm user should recieve checklist item survey notification in inbox</t>
  </si>
  <si>
    <t>Verify overdue/expired checklist supports extend/resend and reschedules reminders.</t>
  </si>
  <si>
    <t>Assigned checklist past expiry; expiry handling enabled.</t>
  </si>
  <si>
    <t>Allow checklist to become overdue → Trigger extend/resend → Verify reminders rescheduled.</t>
  </si>
  <si>
    <t>Checklist expiry handled; extend/resend works; schedule updated; reminders sent.</t>
  </si>
  <si>
    <t>Verify respondent can open assigned checklist and enter responses.</t>
  </si>
  <si>
    <t>Checklist assigned to respondent.</t>
  </si>
  <si>
    <t>Login as respondent → Open Assigned Checklist → Enter responses in fields.</t>
  </si>
  <si>
    <t>Responses captured; checklist ready for submission validation.</t>
  </si>
  <si>
    <t>Verify submission blocked if required item response is missing; user can fix and retry.</t>
  </si>
  <si>
    <t>Checklist assigned; at least one item Required.</t>
  </si>
  <si>
    <t>Open checklist → Leave required item blank → Submit.</t>
  </si>
  <si>
    <t>Validation error shown; checklist not submitted; user remains in fix-and-retry loop.</t>
  </si>
  <si>
    <t>Verify type/range/date validations block invalid responses and allow fix &amp; retry.</t>
  </si>
  <si>
    <t>Checklist assigned; items with validation rules exist.</t>
  </si>
  <si>
    <t>Enter invalid value (wrong type/out of range) → Submit → Fix value → Resubmit.</t>
  </si>
  <si>
    <t>Error shown on invalid attempt; submission succeeds after correction.</t>
  </si>
  <si>
    <t>Verify valid checklist submission persists responses and audit log.</t>
  </si>
  <si>
    <t>Checklist assigned and responses valid.</t>
  </si>
  <si>
    <t>Enter valid responses → Submit checklist.</t>
  </si>
  <si>
    <t>Checklist submitted; responses persisted; audit record created.</t>
  </si>
  <si>
    <t>Verify manager can review submitted checklist and validate responses.</t>
  </si>
  <si>
    <t>Checklist submitted by respondent.</t>
  </si>
  <si>
    <t>Login as manager → Open submission → Review responses → Validate.</t>
  </si>
  <si>
    <t>Manager can view responses; review/validation recorded.</t>
  </si>
  <si>
    <t>Verify manager can close checklist after review completion.</t>
  </si>
  <si>
    <t>Checklist submitted and reviewed.</t>
  </si>
  <si>
    <t>Open submission → Close checklist.</t>
  </si>
  <si>
    <t>Status updates to Closed; respondent cannot edit.</t>
  </si>
  <si>
    <t>Verify archive removes checklist from active lists but retains history/audit.</t>
  </si>
  <si>
    <t>Checklist exists and eligible for archive.</t>
  </si>
  <si>
    <t>Archive checklist → Verify active vs archive views.</t>
  </si>
  <si>
    <t>Not shown in active; visible in archive/history; audit retained.</t>
  </si>
  <si>
    <t>Verify reassign updates respondent access and reschedules notifications.</t>
  </si>
  <si>
    <t>Assignment exists; new respondent available.</t>
  </si>
  <si>
    <t>Reassign checklist → Save → Verify access for old/new respondents → Verify notification schedule.</t>
  </si>
  <si>
    <t>Old respondent loses access; new respondent gains access; reminders rescheduled.</t>
  </si>
  <si>
    <t>Validate core data elements captured across the full lifecycle.</t>
  </si>
  <si>
    <t>At least one full lifecycle run completed (create template → assign → submit → review).</t>
  </si>
  <si>
    <t>Review backend records and related lists for key data elements.</t>
  </si>
  <si>
    <t>All required data elements present and consistent.</t>
  </si>
  <si>
    <t>Verify List view for Checking, 
As a Checklist Manager when I create a Checklist and assign to a respondent then I should see those checklist under "My Checklist" list view"</t>
  </si>
  <si>
    <t>Checklist Manager Created a Checklist AND Respondent responded to the checklist and submit via external portal</t>
  </si>
  <si>
    <t xml:space="preserve">Checklist Manager login to salesforce and navigate to checklist and My checklist </t>
  </si>
  <si>
    <t>System should show checklist that checklist manager created</t>
  </si>
  <si>
    <t>Green</t>
  </si>
  <si>
    <t>Internal reviewed</t>
  </si>
  <si>
    <t xml:space="preserve">Test Cases </t>
  </si>
  <si>
    <t>Module</t>
  </si>
  <si>
    <t># Created</t>
  </si>
  <si>
    <t># Design</t>
  </si>
  <si>
    <t># Reviewed</t>
  </si>
  <si>
    <t># Passed</t>
  </si>
  <si>
    <t># Failed</t>
  </si>
  <si>
    <t># Blocked</t>
  </si>
  <si>
    <t># No Run</t>
  </si>
  <si>
    <t>Blocked%</t>
  </si>
  <si>
    <t>Failed%</t>
  </si>
  <si>
    <t>Passed%</t>
  </si>
  <si>
    <t>No Run %</t>
  </si>
  <si>
    <t>Seat &amp; Capacity</t>
  </si>
  <si>
    <t>Screening</t>
  </si>
  <si>
    <t>Enrollment</t>
  </si>
  <si>
    <t>Incident</t>
  </si>
  <si>
    <t>Monitoring/Coaching log</t>
  </si>
  <si>
    <t>Reporting / Dashboard</t>
  </si>
  <si>
    <t>Invoice</t>
  </si>
  <si>
    <t>Checklist &amp; Checklist Template</t>
  </si>
  <si>
    <t>Procurement</t>
  </si>
  <si>
    <t>Document Management</t>
  </si>
  <si>
    <t>Data Migration</t>
  </si>
  <si>
    <t>ESMS Integration with External Systems</t>
  </si>
  <si>
    <t>Net Total</t>
  </si>
  <si>
    <t>verify that vendor is able lo login SF</t>
  </si>
  <si>
    <t>Seats&amp; Capacity</t>
  </si>
  <si>
    <t>Login --&gt;SF</t>
  </si>
  <si>
    <t>System admin</t>
  </si>
  <si>
    <t>Login sucessfully</t>
  </si>
  <si>
    <t>Verify that vendo user have setup has done perfect</t>
  </si>
  <si>
    <t>Check whether your user has
PSG- Internal Admin</t>
  </si>
  <si>
    <t>ECMS --&gt;Homepage</t>
  </si>
  <si>
    <t>Bunny/ 3-K class p</t>
  </si>
  <si>
    <t>Able to view home page</t>
  </si>
  <si>
    <t>Homepage--&gt;setup</t>
  </si>
  <si>
    <t>All the required presetup has done
for the user</t>
  </si>
  <si>
    <t>setup--&gt;user</t>
  </si>
  <si>
    <t>User--&gt;PSG Assign</t>
  </si>
  <si>
    <t>Back to Homepage</t>
  </si>
  <si>
    <t>Vendor is able to view seats and capacity by
 site class</t>
  </si>
  <si>
    <t>Verify that vendor is able View Seat Capacities by Site​</t>
  </si>
  <si>
    <t>Homepage--&gt;Account--&gt; desired
account link</t>
  </si>
  <si>
    <t>Account--&gt;Quick link</t>
  </si>
  <si>
    <t>Account--&gt;Quick link--&gt; desired site</t>
  </si>
  <si>
    <t>Site--&gt;Quicl links</t>
  </si>
  <si>
    <t>site--&gt;Class desired link</t>
  </si>
  <si>
    <t>"the vendor is able to observe that seats are getting auto
filled"</t>
  </si>
  <si>
    <t>Portal--&gt;create Enrollment</t>
  </si>
  <si>
    <t>The seats auto updated when submitting enrollment</t>
  </si>
  <si>
    <t>working as Expected</t>
  </si>
  <si>
    <t>Portal--&gt; submit enrolment</t>
  </si>
  <si>
    <t>Back to SF--&gt; desired classes</t>
  </si>
  <si>
    <t>class--&gt;select class</t>
  </si>
  <si>
    <t>class--&gt;view</t>
  </si>
  <si>
    <t xml:space="preserve">site--&gt;view the capacity </t>
  </si>
  <si>
    <t>Able to view the seat and capacity
occupied</t>
  </si>
  <si>
    <t>https://prutech.atlassian.net/browse/DOEECMS-1892
https://prutech.atlassian.net/browse/DOEECMS-1968</t>
  </si>
  <si>
    <t>View a Full Seat Capacity Class ​</t>
  </si>
  <si>
    <t>Site--&gt;view the capacity --&gt; Full</t>
  </si>
  <si>
    <t>Verify that Vendor is able to edit capacity for active enrolled classes</t>
  </si>
  <si>
    <t>Site--&gt;view the capacity --&gt; Full--&gt;Edit</t>
  </si>
  <si>
    <t xml:space="preserve">the vendor is not able to edit the
capacity as tere are active
enrollments in the class and
populated an error </t>
  </si>
  <si>
    <t>https://prutech.atlassian.net/browse/DOEECMS-1586
https://prutech.atlassian.net/browse/DOEECMS-1893</t>
  </si>
  <si>
    <t>Verify that vendor is able to submit enrolment for
capacity is full related site</t>
  </si>
  <si>
    <t>the class capacity must be full</t>
  </si>
  <si>
    <t>Login--&gt;portal</t>
  </si>
  <si>
    <t>While create an sumit enrollment, the
enrolmemt is not able to submit and
 the error has to populate</t>
  </si>
  <si>
    <t xml:space="preserve">Create enrolment--&gt; submit </t>
  </si>
  <si>
    <t>Verify that vendor is able to see the other related sites classes capacity in the portal</t>
  </si>
  <si>
    <t>Validation- The vendor is only able
 to see their own sites related
capacity in the portal</t>
  </si>
  <si>
    <t>Provision contact--&gt;functions</t>
  </si>
  <si>
    <t>The vendor is not able to see the other site related classes or Capacity in the Portal</t>
  </si>
  <si>
    <t>woorking As expected</t>
  </si>
  <si>
    <t>Provision contact--&gt;Site</t>
  </si>
  <si>
    <t>Login--&gt; Portal</t>
  </si>
  <si>
    <t>Portal--&gt;Site</t>
  </si>
  <si>
    <t>Portal--&gt;classes</t>
  </si>
  <si>
    <t>Portal--&gt;classes--&gt;View Capacity</t>
  </si>
  <si>
    <t>Related List Quick Links" not loading for Internal Admin user</t>
  </si>
  <si>
    <t>Login--&gt;Internal admin
Navigate--&gt;site
Site--&gt;Quicl Links</t>
  </si>
  <si>
    <t>The Related List Quick Links
should load and display all
applicable quick links for the record.</t>
  </si>
  <si>
    <t>The section does not load; quick
links are missing or the component remains blank and shows in processing.</t>
  </si>
  <si>
    <t>https://prutech.atlassian.net/browse/DOEECMS-1886</t>
  </si>
  <si>
    <t>Internal Administrators do not have access to
 the Dashboards app</t>
  </si>
  <si>
    <t>Log in as an ECMS Internal Administrator.
Navigate to the App Launcher.
Search for “Dashboards”.
Observe that the Dashboards app is missing / not visible.</t>
  </si>
  <si>
    <t>Internal Administrators should see and access the Dashboards app in the App Launcher.
They should be able to open the Seat Capacity Planning Dashboard and related reports.
Dashboard access should be included as part of the ECMS Admin Internal permission set.</t>
  </si>
  <si>
    <t>working As expected</t>
  </si>
  <si>
    <t>https://prutech.atlassian.net/browse/DOEECMS-1891</t>
  </si>
  <si>
    <t>A defect has been identified in the ECMS Seat
 Capacity module where a Class record is being created or saved without a valid Seat Capacity value (0 or null), while the Seats Occupied field displays a positive number.</t>
  </si>
  <si>
    <t>Navigate to Sites Master → Classes.
Create or open an existing Class record.
Leave Seat Capacity = 0 or blank.
Ensure the system displays Seats Occupied &gt; 0 (already existing enrollments or data mismatch).
Save the record.
Observe that the system allows saving the Class, despite invalid/contradictory values.</t>
  </si>
  <si>
    <t xml:space="preserve">Seat Capacity must be a required numeric 
field. The system must not allow creation or
 update of a Class record unless a valid Seat 
Capacity value is provided.
Seat Capacity should never be allowed to
 remain 0, blank, or null if Seats Occupied
 is greater than 0.
A validation error message should prevent 
saving until corrected.
</t>
  </si>
  <si>
    <t>The system allows Class 
creation or update with
 Seat Capacity = 0 / null.</t>
  </si>
  <si>
    <t>https://prutech.atlassian.net/browse/DOEECMS-1890</t>
  </si>
  <si>
    <t>Seat Capacity Planning Dashboard - Capacity
 Vs Occupancy by Seat Type Column chart/ Report is not Visible</t>
  </si>
  <si>
    <t>Navigate to the ECMS home screen.
Click on the nine dots on the top navigation bar and type “Dashboards.”
Click on “Dashboards.”
Click “All Dashboards” in the left most navigation pane. 
Click on the “Seat Capacity Planning Dashboard” link in the leftmost column.
Capacity Vs Occupancy by Seat Type Column chart/ Report is not Visible</t>
  </si>
  <si>
    <t>Capacity Vs Occupancy by Seat Type 
Column chart with Report should be displayed correctly</t>
  </si>
  <si>
    <t>Capacity Vs Occupancy by Seat Type Column chart/ 
Report is not Visible</t>
  </si>
  <si>
    <t>https://prutech.atlassian.net/browse/DOEECMS-2030</t>
  </si>
  <si>
    <t>Total test cases</t>
  </si>
  <si>
    <t>Verify that admin user logged into ECMS-SF</t>
  </si>
  <si>
    <t>Login SF--&gt;Correct Credentials</t>
  </si>
  <si>
    <t>Admin user</t>
  </si>
  <si>
    <t>Loggedin in SF</t>
  </si>
  <si>
    <t>Verify that admin can able to search a vendor-based contact user in home page</t>
  </si>
  <si>
    <t>Vendor contact exists in the system</t>
  </si>
  <si>
    <t>Home page --&gt;Search Vendor User</t>
  </si>
  <si>
    <t>Admin User</t>
  </si>
  <si>
    <t>Admin user is able to search Vendor User</t>
  </si>
  <si>
    <t xml:space="preserve">Verify that admin can open the vendor user profile </t>
  </si>
  <si>
    <t xml:space="preserve">That vendor user shoul be Active </t>
  </si>
  <si>
    <t>Home page --&gt;Select Vendor User</t>
  </si>
  <si>
    <t>Admin user is able to select vendor based contact user</t>
  </si>
  <si>
    <t xml:space="preserve">Enable partner as user </t>
  </si>
  <si>
    <t>Vendor contact--&gt;enable partner as user</t>
  </si>
  <si>
    <t>Admin is able to Enable partner as user</t>
  </si>
  <si>
    <t>Verify that the Provision Contact button is visible for the vendor user profile</t>
  </si>
  <si>
    <t>Vendor contact--&gt;Provision Contact</t>
  </si>
  <si>
    <t>The should be able Provision contact</t>
  </si>
  <si>
    <t>Admin can successfully provision the vendor contact assign required permission sets to the vendor user</t>
  </si>
  <si>
    <t>Permissions should be assigned Perfectly</t>
  </si>
  <si>
    <t>Vendor contact--&gt;view Partner--&gt;assign
Permissions</t>
  </si>
  <si>
    <t>The user should be able to assign permissions to the User</t>
  </si>
  <si>
    <t>Verify that admin can log in to Experience as the vendor user</t>
  </si>
  <si>
    <t>Vendor Contact--&gt;login Experience as user</t>
  </si>
  <si>
    <t>The vendor is able to login Experience as user into the portal</t>
  </si>
  <si>
    <t xml:space="preserve">Student Enrollment on portal </t>
  </si>
  <si>
    <t>Portal--&gt;Create Enrollment Tab</t>
  </si>
  <si>
    <t>Vendor should be able to see Student Enrollment and Create Enrollments links on portal</t>
  </si>
  <si>
    <t xml:space="preserve">Create a new student Enrollment </t>
  </si>
  <si>
    <t>Create new Enrollment on portal  -&gt; Student Basic details</t>
  </si>
  <si>
    <t>Vendor should be able to Enter Basic Student Details - First name, Last name, Birthdate, gender, etc</t>
  </si>
  <si>
    <t>Student Information</t>
  </si>
  <si>
    <t>Create new Enrollment on portal -&gt; Fill student information</t>
  </si>
  <si>
    <t>Prefil information from basic information and Vendor should be able to enter more Student Information like salutation, race, place of birth, borough, district, mailing address etc.</t>
  </si>
  <si>
    <t>Information Validations</t>
  </si>
  <si>
    <t>Info should be in right validation</t>
  </si>
  <si>
    <t>Create new Enrollment on portal -&gt;Student information form validations</t>
  </si>
  <si>
    <t xml:space="preserve">System should perform validations for all required information being filled by the vendor and display errors for missing fields data. </t>
  </si>
  <si>
    <t>Fill Parents Information</t>
  </si>
  <si>
    <t>Create new Enrollment on portal -&gt; Fill Parent Guardian information</t>
  </si>
  <si>
    <t>Vendor should be able to enter Parent information like - Name, mobile, relationship, address, spoken language, etc.</t>
  </si>
  <si>
    <t>Parents info Validation</t>
  </si>
  <si>
    <t>Create new Enrollment on portal -&gt; Parent Guardian information validation</t>
  </si>
  <si>
    <t xml:space="preserve">Enrollment Information Requested </t>
  </si>
  <si>
    <t>Create new Enrollment on portal -&gt; Fill Enrollment Information</t>
  </si>
  <si>
    <t xml:space="preserve">Vendor should be able to fill enrollment information like Program type, seat type, site, class, etc. </t>
  </si>
  <si>
    <t>Enrollment  info Related Class Creation</t>
  </si>
  <si>
    <t>Class creation should be created Based on which we provided program type</t>
  </si>
  <si>
    <t>Create new Enrollment on portal -&gt;Enrollment Information class creation</t>
  </si>
  <si>
    <t>Vendor should be able to create a new class from the field itself if not already present.</t>
  </si>
  <si>
    <t>Create new Enrolment for existing Student</t>
  </si>
  <si>
    <t>Create new Enrollment on portal  -&gt; EXISTING student</t>
  </si>
  <si>
    <t>Vendor should be able to enter the Basic Student Details and system shall detect if the data entered is for an exisiting student and display the child name to select</t>
  </si>
  <si>
    <t>SAVE Enrollment</t>
  </si>
  <si>
    <t>Create new Enrollment on portal  -&gt; Finish Enrollment</t>
  </si>
  <si>
    <t>Vendors should be able to save an enrollment in Draft status before submitting it for approval</t>
  </si>
  <si>
    <t>EDIT Enrollment</t>
  </si>
  <si>
    <t>Saved Enrollment--&gt;Edit</t>
  </si>
  <si>
    <t>Vendors should be able to edit a saved enrollment that is in New or Draft status</t>
  </si>
  <si>
    <t>Finish Enrollment</t>
  </si>
  <si>
    <t>Create new Enrollment on portal -&gt; Validate and finish enrollment</t>
  </si>
  <si>
    <t>Vendors shall be to SUBMIT the enrolment for a student successfully after system validates the information provided.</t>
  </si>
  <si>
    <t>View Submitted Enrollment</t>
  </si>
  <si>
    <t>Create new Enrollment on portal -&gt; View submitted enrollment record</t>
  </si>
  <si>
    <t>Vendor should be able to view the submitted enollment record on the portal under the "Submitted enrollments" listview.</t>
  </si>
  <si>
    <t>RC Staff</t>
  </si>
  <si>
    <t>Vendor should no longer be able to edit a submitted status enrollment record</t>
  </si>
  <si>
    <t xml:space="preserve">View Submitted Enrollment Status </t>
  </si>
  <si>
    <t xml:space="preserve">Create new Enrollment on portal -&gt; View enrollment status </t>
  </si>
  <si>
    <t xml:space="preserve">Vendors shall be to see the correct status of the enrollment on the pipeline. </t>
  </si>
  <si>
    <t>Upload Documents</t>
  </si>
  <si>
    <t>Saved Enrollment--&gt; Upload documents</t>
  </si>
  <si>
    <t>Vendor should be able upload documents( Date of Birth )</t>
  </si>
  <si>
    <t>Submit Enrollment</t>
  </si>
  <si>
    <t>Saved Enrollment--&gt; Submit Enrolment</t>
  </si>
  <si>
    <t>Vendor should be able to submit enrollment</t>
  </si>
  <si>
    <t>View new enrollment in SF, Notify Internal user</t>
  </si>
  <si>
    <t>Internal User should be able to receive
 Notification for approval</t>
  </si>
  <si>
    <t>Home page--&gt; Items to approve</t>
  </si>
  <si>
    <t>Enrollment Specialist</t>
  </si>
  <si>
    <t>Enrollment Specialist shouldget notified via email for approval request and see the newly created enrollment record in the salesforce</t>
  </si>
  <si>
    <t>Enrollment approval history</t>
  </si>
  <si>
    <t>SF Enrollment Record--&gt;View approval history</t>
  </si>
  <si>
    <t>Enrollment Specialist should be able to go to approval history for approve, reject or reassign the enrollment apporval</t>
  </si>
  <si>
    <t>Enrollment approvals from Approvals app</t>
  </si>
  <si>
    <t>App launcher--&gt;Approval requests</t>
  </si>
  <si>
    <t>Enrollment Specialist should be able to see pending approvals for the enrollment from "Approvals" on homepage</t>
  </si>
  <si>
    <t>Enrollment approval flow</t>
  </si>
  <si>
    <t>Approval requests--&gt; items to apoprove</t>
  </si>
  <si>
    <t>Enrollment Specialist should be able to approve a student enrollment and system shall refelect the status on the record</t>
  </si>
  <si>
    <t>Approval requests--&gt; items to apoprove--&gt;Information request</t>
  </si>
  <si>
    <t xml:space="preserve">Enrollment Specialist should be able to request for additional information to the submitter </t>
  </si>
  <si>
    <t>Add requested information on portal</t>
  </si>
  <si>
    <t>Portal--&gt;Info Requsted Enrollment--&gt;Update information</t>
  </si>
  <si>
    <t>Vendor should able to add requested information on the enrollment and re-submit it for the approval</t>
  </si>
  <si>
    <t>Approve Enrollment</t>
  </si>
  <si>
    <t>Approval requests--&gt; items to apoprove--&gt;Approve</t>
  </si>
  <si>
    <t>Enrollment Specialist is able to approve</t>
  </si>
  <si>
    <t>Active Enrollment</t>
  </si>
  <si>
    <t>SF Enrollment Record--&gt;Mark as active</t>
  </si>
  <si>
    <t>Enrollment Specialist should be able to make Manually mark status as active</t>
  </si>
  <si>
    <t>Create Budget --&gt; view Existing Active budgets --&gt; Try to edit the record</t>
  </si>
  <si>
    <t>Vendor should no longer be able to edit an Active status enrollment record</t>
  </si>
  <si>
    <t xml:space="preserve">Upload docs for a submitted Enrollment
</t>
  </si>
  <si>
    <t>Enrollment status should be in Active status</t>
  </si>
  <si>
    <t>Login to ECMS portal as a Vendor
Go to Student Enrollments tab
Open Enrollment which is in Active status
Click Upload Document → Try to Upload Documents</t>
  </si>
  <si>
    <t>Vendor should able to upload documents successfully</t>
  </si>
  <si>
    <t>Received Exception</t>
  </si>
  <si>
    <t>DOEECMS-1884</t>
  </si>
  <si>
    <t>Create Enrollment for Existing Student</t>
  </si>
  <si>
    <t>Already Enrollment should be submitted and in Active status for an existing student</t>
  </si>
  <si>
    <t>Loginto ECMS Portal as Vendor
Go to Student Enrollments tab → Create New Enrollment
Enter details of Existing Student
Select Existing Student → Save</t>
  </si>
  <si>
    <t>There should be a proper message saying Enrollment already exists for this student.</t>
  </si>
  <si>
    <t>DOEECMS-1870</t>
  </si>
  <si>
    <t>Student Enrollment – Step 1 Data "Updates" should preserve on Step 2</t>
  </si>
  <si>
    <t>Start creating a new enrollment.
In Step 1 – Basic Student Details, enter:
First Name
Last Name
Birth Date
Gender
Click Next and proceed to Step 2 – Student Information Form.
Click Back to return to Step 1.
Modify any of the details.
Click Next to return to Step 2.</t>
  </si>
  <si>
    <t>Step 2 should display updated student information based on the latest values entered in Step 1.
Data should be refreshed and synchronized across steps.</t>
  </si>
  <si>
    <t>DOEECMS-1841</t>
  </si>
  <si>
    <t>If any enrollment record is in New/Draft status, Vendor should be notified with an email</t>
  </si>
  <si>
    <t>Navigate to Vendor Login
Click on Student Enrollment Button
Check if there are any records with New/ Draft status
If yes, Vendor should get email with those record details</t>
  </si>
  <si>
    <t>Vendor should get email with those record details</t>
  </si>
  <si>
    <t>Not yet Received</t>
  </si>
  <si>
    <t>Deactivate a record which is in Active status</t>
  </si>
  <si>
    <t>Navigate to Vendor Login
Click on Student Enrollment Button
Open any Active student record
On top Right dropdown, select Request Deactivation
Fill the data and submit the request</t>
  </si>
  <si>
    <t>Deactivation request should be submitted successfully</t>
  </si>
  <si>
    <t>View the record on which Deactivation action is performed</t>
  </si>
  <si>
    <t>Navigate to Vendor Login
Click on Student Enrollment Button
Open the Active student record for which deactivation request is initiated
In view check the reason and vendor details which were provided during Deactivation request action</t>
  </si>
  <si>
    <t>The reason and vendor details which were provided during Deactivation request action should be properly displayed.</t>
  </si>
  <si>
    <t>When Enrollment Specialists request
 additional information on a submitted
 enrollment, the system does not update
 the enrollment record status to “Information Requested”</t>
  </si>
  <si>
    <t>Log in to Salesforce as an Enrollment Specialist.
Navigate to an enrollment record with Status = Submitted Enrollment.
Click the action Request Additional Information
Add comments and Submit the request.</t>
  </si>
  <si>
    <t>The enrollment record status should automatically update from
Submitted Enrollment → Information Requested in both salesforce and at the portal
The “Request additional Information” button shall not display anymore and the status on approval request page shall show “Information or More details Requested” (as coded in system)
The vendor user should see the enrollment on the Vendor Portal indicating that more information has been requested
The enrollment should be listed:
Under the 'Information Requested' list view for the vendor on the portal</t>
  </si>
  <si>
    <t>The enrollment record status does not change and stays as Submitted Enrollment
The button ‘Request Additional Information’ still keeps displaying on the Approval Request page.
Vendor users see no update on the Vendor Portal
The enrollment does not display in the vendor portal 'Information Requested' list view</t>
  </si>
  <si>
    <t>https://prutech.atlassian.net/browse/DOEECMS-1772</t>
  </si>
  <si>
    <t>Enrollment Screen – Admission Date Field Showing Blank</t>
  </si>
  <si>
    <t>Log into Vendor Portal
Navigate to Student Enrollments Tab
Select existing Student Enrollment record
On top left, Admission Date field is blank</t>
  </si>
  <si>
    <t>Student Enrollment Screen – Admission Date Field data
 should be populated successfully</t>
  </si>
  <si>
    <t>Student Enrollment Screen – Admission Date
 Field Showing Blank</t>
  </si>
  <si>
    <t>https://prutech.atlassian.net/browse/DOEECMS-2042</t>
  </si>
  <si>
    <t>When Enrollment is updated Inactive to Active, update Discharge Date to Blank</t>
  </si>
  <si>
    <t>Login to ECMS Portal as Vendor
Navigate to Active Enrollment → Request for 
Deactivation → Discharge Date will populate
Login to SF Org as Enrollment Specialist → 
Update status from Active to Inactive
For the same record try to update the status from Inactive to Active → Then Discharge Date should update as Blank.</t>
  </si>
  <si>
    <t>To avoid confusion, When Enrollment status is updated from
 Inactive to Active then Discharge Date should update as Blank.</t>
  </si>
  <si>
    <t>Enrollment status is Active still system displays 
Discharge Date.</t>
  </si>
  <si>
    <t>https://prutech.atlassian.net/browse/DOEECMS-2041</t>
  </si>
  <si>
    <t>First date of attendance before DOB is accepting</t>
  </si>
  <si>
    <t>Portal → Create enrollment
Give First date of attendance as before student DOB and finish</t>
  </si>
  <si>
    <t>The system should not allow the first DOA before DOB it
 should restrict</t>
  </si>
  <si>
    <t>It was allowing the first date of attendance before 
DOB</t>
  </si>
  <si>
    <t>https://prutech.atlassian.net/browse/DOEECMS-2035</t>
  </si>
  <si>
    <t>Vendor User is Unable to Navigate Back to Previous 
Steps After DOB Validation Error</t>
  </si>
  <si>
    <t>Log into Vendor Portal
Navigate to Student Enrollments Button --&gt; Click on Create New Enrollment Button
Provide all the details DOB less than Pre-K condition
In parent details Step, don't provide mandate data and click on next
Some validation message comes for mandate field so provide data and proceed
In final step, system validates DOB and Program Type condition and throws an exception
So As a Vendor I have to go back to first step and change DOB
But system is restricting me with the parent mandate details field validation message even though data is present</t>
  </si>
  <si>
    <t>System Should allow me to do modifications by navigating
 to previous pages when data is present for mandate fields</t>
  </si>
  <si>
    <t>System is restricting me with the parent mandate
 details field validation message even though data 
is present</t>
  </si>
  <si>
    <t>https://prutech.atlassian.net/browse/DOEECMS-2031</t>
  </si>
  <si>
    <t>Vendor User is Unable to Navigate Back to Previous Steps After DOB Validation Error</t>
  </si>
  <si>
    <t>System is restricting me with the parent mandate
 details field validation message even though data
 is present</t>
  </si>
  <si>
    <t>Received error when trying to Mark status as 
Complete/Mark as Current Status</t>
  </si>
  <si>
    <t>Login as Enrollment Specialist to Salesforce 
Test Org
Click on Items to Approve → Approve the
 Enrollment → Click on ‘Mark status as Complete’</t>
  </si>
  <si>
    <t>Enrollment Specialist should be able to update the status
 as ‘Active’.</t>
  </si>
  <si>
    <t>Received below error</t>
  </si>
  <si>
    <t>https://prutech.atlassian.net/browse/DOEECMS-2022</t>
  </si>
  <si>
    <t>Student Birthdate and Program Type Eligibility Validation 
Missing</t>
  </si>
  <si>
    <t>Log into Vendor Portal
Click on Create Enrollment button
Provide all the data and Birthdate as yesterday and program type as Pre-K(4-5 years)
Enrollment process is completed successfully without any errors</t>
  </si>
  <si>
    <t>There should be a validation based on Birthdate when 
irrelevant Program type is selected</t>
  </si>
  <si>
    <t>Enrollment process is completed successfully
 without any errors</t>
  </si>
  <si>
    <t>https://prutech.atlassian.net/browse/DOEECMS-1989</t>
  </si>
  <si>
    <t xml:space="preserve">When Step1 is opened there should be a field with
 ‘Comments’ for the Vendor to see the Comments added
 by Enrollment Specialist.
</t>
  </si>
  <si>
    <t>https://prutech.atlassian.net/browse/DOEECMS-1954</t>
  </si>
  <si>
    <t>Student screening</t>
  </si>
  <si>
    <t>Login --&gt; SF</t>
  </si>
  <si>
    <t>Admin user is logged into ECMS</t>
  </si>
  <si>
    <t>Working as expected</t>
  </si>
  <si>
    <t>Homepage--&gt;search--&gt; vendor</t>
  </si>
  <si>
    <t>Vendor contact appears in search results</t>
  </si>
  <si>
    <t>that user should be active</t>
  </si>
  <si>
    <t xml:space="preserve">Homepage--&gt;search--&gt; vendor user Select </t>
  </si>
  <si>
    <t>Vendor user profile opens successfully and active</t>
  </si>
  <si>
    <t>Enable partner as user and assign required
 permission sets to the vendor user</t>
  </si>
  <si>
    <t>Vendor user--&gt;Assign Permissions</t>
  </si>
  <si>
    <t>The permissions are sucessfully assigned to the user</t>
  </si>
  <si>
    <t>Verify that the Provision Contact button is visible for
 the vendor user profile</t>
  </si>
  <si>
    <t>Vendor contact is not yet provisioned</t>
  </si>
  <si>
    <t>Vendor user--&gt;Provision Contact</t>
  </si>
  <si>
    <t>Provision Contact button is displayed on the profile</t>
  </si>
  <si>
    <t>Able to see Provision Contact</t>
  </si>
  <si>
    <t>Admin can successfully provision the vendor contact</t>
  </si>
  <si>
    <t>Contact is provisioned successfully ,Confirmation
 message is displayed</t>
  </si>
  <si>
    <t>Provision Contact was Successful</t>
  </si>
  <si>
    <t>Verify that admin can log in to Experience as the 
vendor user</t>
  </si>
  <si>
    <t>Vendor user is active and site is 
configured correctly</t>
  </si>
  <si>
    <t>Vendor user--&gt;Login to Portal</t>
  </si>
  <si>
    <t>Admin successfully logged in Portal as vendor user</t>
  </si>
  <si>
    <t>You can verify here the student screening tab is visible</t>
  </si>
  <si>
    <t>Screening tab visibility with the right 
permission set</t>
  </si>
  <si>
    <t>Portal--&gt;home page --&gt; Screening tab</t>
  </si>
  <si>
    <t xml:space="preserve">The right permissions are added so you can able to see </t>
  </si>
  <si>
    <t>Verify the screening tab is not visible on portal</t>
  </si>
  <si>
    <t>Screening tab visibility without the right 
permission set</t>
  </si>
  <si>
    <t>should not display student screening tab</t>
  </si>
  <si>
    <t>Verify that a Student Screening record is automatically
 created with “Not Started” status upon enrollment 
submission</t>
  </si>
  <si>
    <t>Enrollment is successfully submitted</t>
  </si>
  <si>
    <t>Screening tab--&gt;Student Record</t>
  </si>
  <si>
    <t>Student Screening record is auto-created-Status is set to
 “Not Started” 45-day timeline tracking is initiated</t>
  </si>
  <si>
    <t xml:space="preserve">The external vendor user can view “Not Started” Student Screenings using list view filter </t>
  </si>
  <si>
    <t>Screening tab--&gt;Dropdown select filter not started</t>
  </si>
  <si>
    <t>“Not Started” list view displays all new screenings for
 assigned site(s)</t>
  </si>
  <si>
    <t>Verify that external vendor user can open a Student 
Screening record for editing</t>
  </si>
  <si>
    <t>Screening record is in “Not Started” status</t>
  </si>
  <si>
    <t>Student Screening record opens successfully in edit mode</t>
  </si>
  <si>
    <t>Working As expected</t>
  </si>
  <si>
    <t>Verify that screening questions dynamically change
 based on the response provided by the external user</t>
  </si>
  <si>
    <t>Screening record is editable</t>
  </si>
  <si>
    <t>Screening tab--&gt;Fill form</t>
  </si>
  <si>
    <t>Subsequent questions change dynamically based on 
selected responses</t>
  </si>
  <si>
    <t>https://prutech.atlassian.net/browse/DOEECMS-1379</t>
  </si>
  <si>
    <t>Verify that the system performs automated score
 calculations and validations while external user
 enters screening responses</t>
  </si>
  <si>
    <t>Sysytem shall allow the results calculate</t>
  </si>
  <si>
    <t>Valid scores are calculated automaticallyand Invalid
 scores are rejected</t>
  </si>
  <si>
    <t>not working as expected , the systen does not calculating the results side by side and even the results are 0 then it has showing as above cutoff</t>
  </si>
  <si>
    <t>https://prutech.atlassian.net/browse/DOEECMS-1861</t>
  </si>
  <si>
    <t>The external vendor user can save the screening record as Draft or Submit and view calculated results</t>
  </si>
  <si>
    <t>Screening responses entered completely</t>
  </si>
  <si>
    <t>Screening tab--&gt;Fill form--&gt;Draft(or) Submit</t>
  </si>
  <si>
    <t>Draft saves record for future editing,Submit finalizes the
 screening,Results appear in the Results column
 of list view</t>
  </si>
  <si>
    <t>https://prutech.atlassian.net/browse/DOEECMS-1853</t>
  </si>
  <si>
    <t>A Student Screening moves to Rescreen status when
 screening results are “Below Cutoff”</t>
  </si>
  <si>
    <t>External vendor user completed a screening</t>
  </si>
  <si>
    <t>Screening tab--&gt; Student record--&gt; Result</t>
  </si>
  <si>
    <t>Screening status automatically updates to “Rescreen”</t>
  </si>
  <si>
    <t>The external vendor user can view Rescreening
 Students from the Student Screenings list view</t>
  </si>
  <si>
    <t>Screening records exist in Rescreen status</t>
  </si>
  <si>
    <t>Screening tab--&gt;Dropdown select filter Rescreen</t>
  </si>
  <si>
    <t>Rescreening Students list view displays all students
 requiring rescreen</t>
  </si>
  <si>
    <t>Verify that external vendor user can open a Rescreen
 screening record for editing</t>
  </si>
  <si>
    <t>Screening record is in Rescreen status</t>
  </si>
  <si>
    <t>Screening tab--&gt;Dropdown--&gt; filter Rescreen-&gt; open</t>
  </si>
  <si>
    <t>Screening record opens successfully for rescreen editing</t>
  </si>
  <si>
    <t>Verify that external vendor user can edit and update
 the screening record during rescreening</t>
  </si>
  <si>
    <t>Verify that admin Is able to edit values</t>
  </si>
  <si>
    <t>Screening tab--&gt;Dropdown--&gt; filter Rescreen-&gt; edit</t>
  </si>
  <si>
    <t>Updated responses can be entered Changes are saved 
successfully</t>
  </si>
  <si>
    <t>The external vendor user can view screenings not
 completed within 45 days using the list view</t>
  </si>
  <si>
    <t>Screenings exceed 45-day timeline</t>
  </si>
  <si>
    <t>Screening tab--&gt;Dropdown select filter not Started in 45 Days</t>
  </si>
  <si>
    <t>“Not Completed in 45 Days” list view displays 
applicable records</t>
  </si>
  <si>
    <t>The vendor user receives an email notification when a
 screening is approaching due date</t>
  </si>
  <si>
    <t>Screening due date is approaching</t>
  </si>
  <si>
    <t>Email notification is sent to the vendor user for Rescreen</t>
  </si>
  <si>
    <t>Vendor user receives an email notification for
 overdue screenings</t>
  </si>
  <si>
    <t>Screening not completed within 45 days</t>
  </si>
  <si>
    <t>Vendor user receives overdue notification email</t>
  </si>
  <si>
    <t>Verify that external vendor user can filter and 
view screenings by desired status</t>
  </si>
  <si>
    <t>Multiple screening statuses exist</t>
  </si>
  <si>
    <t>User can view screenings by selected status without 
errors</t>
  </si>
  <si>
    <t>Verify Student Screening Status should Update After Vendor Submits Completed Screening Form</t>
  </si>
  <si>
    <t>Student screening/Update</t>
  </si>
  <si>
    <t>Log in as a Vendor User in the Vendor Portal.
Navigate to a Student record where the Student Screening Status = Draft.
Open the Student Screenings form.
Enter all required screening information.
Click Submit to complete the form.
Return to the student’s Screening Status field on list view.
Observe that the status remains “Draft” instead of updating.</t>
  </si>
  <si>
    <t>Once the vendor completes and submits the Student Screenings form, the Student Screening Status should automatically update to the appropriate next status (e.g., Submitted based on workflow rules).
The new status should reflect that the screening is no longer in draft mode.</t>
  </si>
  <si>
    <t>DOEECMS-1856</t>
  </si>
  <si>
    <t>While giving the Results for screening the system was not get calculated side by side</t>
  </si>
  <si>
    <t>Log in as a Vendor User in the Vendor Portal.
Navigate to the specific Student record.
Open the Student Screenings form.
Scroll through the form fields.
Give results by random</t>
  </si>
  <si>
    <t>The System should get automatically calculate by side by while giving results</t>
  </si>
  <si>
    <t>The results were not getting calculate by the system.</t>
  </si>
  <si>
    <t>On Portal - Remove "new" button for student screening</t>
  </si>
  <si>
    <t>Screening tab visibility</t>
  </si>
  <si>
    <t>Navigate to Student Screening.</t>
  </si>
  <si>
    <t>Anika Kumar</t>
  </si>
  <si>
    <t>No "New" button should be visible.</t>
  </si>
  <si>
    <t>No "New" button is visible.</t>
  </si>
  <si>
    <t>DOEECMS-1380</t>
  </si>
  <si>
    <t>After selecting “YES” for Did you begin administering the home language survey (EMLLPP) for this child and thier family?</t>
  </si>
  <si>
    <t>Vinni</t>
  </si>
  <si>
    <t>The Questions Has to Populate</t>
  </si>
  <si>
    <t>the following questions do not populate to be answered.</t>
  </si>
  <si>
    <t>DECE Policy button on Student Screening</t>
  </si>
  <si>
    <t>Student Screening</t>
  </si>
  <si>
    <t xml:space="preserve">Steps to Reproduce-
Login to Portal as Vendor Admin 
Click on Student Enrollments → Open Active Enrollment → Click on   Student Screening link
Open Student screening record → Click on DECE Policy button
</t>
  </si>
  <si>
    <t>Policy page should be displayed</t>
  </si>
  <si>
    <t>Page no found error</t>
  </si>
  <si>
    <t>DOEECMS-1912</t>
  </si>
  <si>
    <t>Module/ Feature</t>
  </si>
  <si>
    <t>BUDGET E2E FLOW -  Vendor create budget -  
APPROVALS / rejection - 
REQUIRED FIELDS + 
Comments section - between external and internal - ) External user / internal user )</t>
  </si>
  <si>
    <t>OA / OD APPROVED</t>
  </si>
  <si>
    <t>Account</t>
  </si>
  <si>
    <t>share my sc</t>
  </si>
  <si>
    <t>The Invoice Module requires the vendor user to have the “ECMS Invoices - External” permission set profile.</t>
  </si>
  <si>
    <t>Create</t>
  </si>
  <si>
    <t>Vendor should assign with “ECMS Invoices - External” permission set</t>
  </si>
  <si>
    <t>Login to ECMS portal as a Vendor</t>
  </si>
  <si>
    <t>Vendor should have required Permisson set.</t>
  </si>
  <si>
    <t>Click on Invoice Tab --&gt; New</t>
  </si>
  <si>
    <t xml:space="preserve">Vendor Admin (Experience User) Should NOT be able create a new Invoice for the Budget IF 
attendance for all enrollments under the Budget siteis not fullfiled
</t>
  </si>
  <si>
    <t>Budget Should be Approved by OA/OD
Enrollment should be Active/Approved
Previous month's attendance should be certified.
Prior Month Invoice should be approved (if Exist)</t>
  </si>
  <si>
    <t xml:space="preserve">Confirm New Invoice pop up should display
</t>
  </si>
  <si>
    <t>User select Approved Budget from the list to invoice against and click Next button</t>
  </si>
  <si>
    <t>Confirm New Invoice pop up should display 
Hit Next to complete the PETS attestation and create the invoice for that month.</t>
  </si>
  <si>
    <t>Click Next button</t>
  </si>
  <si>
    <t>Confirm system should display, 
Before submitting your invoice, please ensure you have certified your PETS Roster and Monthly Fire Drill Logs for completion.</t>
  </si>
  <si>
    <t>Click Create Invoice button</t>
  </si>
  <si>
    <t>Confirm system should display,
Please submit attendance for all enrollments under the Budget site and ensure they are certified before proceeding with invoice creation.</t>
  </si>
  <si>
    <t>Vendor Admin (Experience User) Should NOT be able create a new Invoice for the Budget If attendance is not certified.</t>
  </si>
  <si>
    <t>Click Site</t>
  </si>
  <si>
    <t>Confirm system should take user to classes page</t>
  </si>
  <si>
    <t>Do not select checkbox true "I Certify that the attendance Information reported on this Electronic Attendance form EAF is Correct.</t>
  </si>
  <si>
    <t>Confirm system should display "Please Select the checkbox to certify the attendance"</t>
  </si>
  <si>
    <t xml:space="preserve"> select checkbox true "I Certify that the attendance Information reported on this Electronic Attendance form EAF is Correct.</t>
  </si>
  <si>
    <t>Confirm system should display, "Please Complete the Monthly Attendance before certifying"</t>
  </si>
  <si>
    <t>Verify that OA receives notification and can review invoice for approval</t>
  </si>
  <si>
    <t>Approval/Notification</t>
  </si>
  <si>
    <t>Invoice submitted; OA assigned/related notification configured</t>
  </si>
  <si>
    <t>Verify Invoice is locked and cannot be edited after submission and confirm only user can view the invoice details.</t>
  </si>
  <si>
    <t>View/lock</t>
  </si>
  <si>
    <t>Invoice submitted successfully</t>
  </si>
  <si>
    <t>Verify vendor admin should not be able to proceed and create an invoice if monthly max on contract is exceeded</t>
  </si>
  <si>
    <t>Invoice draft created; contract monthly max rule configured</t>
  </si>
  <si>
    <t>Verify Vendor admin should not be allowed to create an invoice when certificates are expired</t>
  </si>
  <si>
    <t>Certificate validation fails (expired)</t>
  </si>
  <si>
    <t xml:space="preserve">Verify vendor admin should not be allowed to save when DOC cost exceeds available funds </t>
  </si>
  <si>
    <t>Invoice draft created; available funds calculated</t>
  </si>
  <si>
    <t>Verify vendor admin should not be allowed to create an invoice when budget is not approved</t>
  </si>
  <si>
    <t>Verify vendor admin should be able to create an Invoice from main landing Page</t>
  </si>
  <si>
    <t>Click "Create Invoice" on main landing page , After login</t>
  </si>
  <si>
    <t>Click New Button</t>
  </si>
  <si>
    <t xml:space="preserve">Select Budget Name </t>
  </si>
  <si>
    <t>Confirm should display New Invioice page, and the Most recent Month you need an inviice for is July messge should be displayed due to start of fiscal year</t>
  </si>
  <si>
    <t>Confirm system display, "Before submitting your invoice, Please ensure your have certiified PETS Roster and monthly Fire Drill Logs for completion</t>
  </si>
  <si>
    <t>Select Previous</t>
  </si>
  <si>
    <t>Confirm system take user back to previous page</t>
  </si>
  <si>
    <t>Select Next Button</t>
  </si>
  <si>
    <t>Select Create Invoice</t>
  </si>
  <si>
    <t>Please submit attendance for all enrollments under the Budget site and ensure they are certified before proceeding with invoice creation.</t>
  </si>
  <si>
    <t>Verify supporting documents are required per line item during invoice creation</t>
  </si>
  <si>
    <t>Select Create Invoice.
Line items require supporting docs.</t>
  </si>
  <si>
    <t>Try Save &amp; Close without docs → attach docs → Save &amp; Close.</t>
  </si>
  <si>
    <t>Blocked when missing; success after attaching required docs.</t>
  </si>
  <si>
    <t>Verify OA can search an invoice and view invoice summary</t>
  </si>
  <si>
    <t>Login as an OA and navigate to Invoice</t>
  </si>
  <si>
    <t xml:space="preserve">Click an Invoice ID </t>
  </si>
  <si>
    <t>Invoice detail page is displayed</t>
  </si>
  <si>
    <t>Click Invoice Summary</t>
  </si>
  <si>
    <t>Invoice accessible; correct status/summary displayed.</t>
  </si>
  <si>
    <t>Verify only draft Invoice can be edited by OA after an invoice submission by an external user</t>
  </si>
  <si>
    <t xml:space="preserve">Edit an Invoice per within the rules </t>
  </si>
  <si>
    <t>Confirm user is able to edit and save</t>
  </si>
  <si>
    <t>Verify OA add a commenys and they should appear in vendor approval history</t>
  </si>
  <si>
    <t>Add comments</t>
  </si>
  <si>
    <t>Confirm comments are added and audit trail is saved as per user entry for history purpose</t>
  </si>
  <si>
    <t>Defects Opened</t>
  </si>
  <si>
    <t>Defect ID</t>
  </si>
  <si>
    <t>Comments</t>
  </si>
  <si>
    <t>Reporting</t>
  </si>
  <si>
    <t>QA Team Assignments</t>
  </si>
  <si>
    <t>#</t>
  </si>
  <si>
    <t>Date</t>
  </si>
  <si>
    <t>Planned Due Date</t>
  </si>
  <si>
    <t>Tasks</t>
  </si>
  <si>
    <t>% Completion</t>
  </si>
  <si>
    <t>Resource</t>
  </si>
  <si>
    <t>Status inputs</t>
  </si>
  <si>
    <t>Weightage</t>
  </si>
  <si>
    <t>Budget Module Test Cases Creation</t>
  </si>
  <si>
    <t>High</t>
  </si>
  <si>
    <t>In Progress</t>
  </si>
  <si>
    <t>Anika Prasad</t>
  </si>
  <si>
    <t>Completed</t>
  </si>
  <si>
    <t>Attendance Module Test Cases</t>
  </si>
  <si>
    <t>Lakshmi Neeruthi</t>
  </si>
  <si>
    <t>Invoice Module Test Cases</t>
  </si>
  <si>
    <t>Fawad Rehman</t>
  </si>
  <si>
    <t>Not Started</t>
  </si>
  <si>
    <t>Low</t>
  </si>
  <si>
    <t>Screening Modules Test Cases</t>
  </si>
  <si>
    <t>Niveditha Balguri</t>
  </si>
  <si>
    <t>Niveditha Balguri/Lakshmi Neeruthi</t>
  </si>
  <si>
    <t>Total Activities</t>
  </si>
  <si>
    <t>Completed Score</t>
  </si>
  <si>
    <t>Monitoring/Coaching Logs  Test Cases</t>
  </si>
  <si>
    <t>Total Score</t>
  </si>
  <si>
    <t>Incident Module Test Cases</t>
  </si>
  <si>
    <t>% Completed</t>
  </si>
  <si>
    <t xml:space="preserve">Checklist </t>
  </si>
  <si>
    <t>Checklist Templates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</si>
</sst>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font>
      <sz val="11"/>
      <color theme="1"/>
      <name val="Calibri"/>
      <family val="2"/>
      <scheme val="minor"/>
    </font>
    <font>
      <sz val="11"/>
      <color theme="1"/>
      <name val="Calibri"/>
      <scheme val="minor"/>
    </font>
    <font>
      <sz val="11"/>
      <name val="Aptos Narrow"/>
      <family val="2"/>
      <scheme val="minor"/>
    </font>
    <font>
      <u/>
      <sz val="11"/>
      <color theme="10"/>
      <name val="Calibri"/>
      <family val="2"/>
      <scheme val="minor"/>
    </font>
    <font>
      <sz val="11"/>
      <color rgb="FF000000"/>
      <name val="Calibri"/>
      <family val="2"/>
    </font>
    <font>
      <sz val="11"/>
      <color rgb="FF000000"/>
      <name val="Aptos Narrow"/>
      <family val="2"/>
    </font>
    <font>
      <sz val="10"/>
      <color rgb="FF000000"/>
      <name val="Arial"/>
      <family val="2"/>
    </font>
    <font>
      <sz val="11"/>
      <color rgb="FF292A2E"/>
      <name val="Atlassian Sans"/>
    </font>
    <font>
      <sz val="11"/>
      <color rgb="FF242424"/>
      <name val="Aptos Narrow"/>
      <charset val="1"/>
    </font>
    <font>
      <sz val="11"/>
      <color rgb="FF292A2E"/>
      <name val="Atlassian Sans"/>
      <charset val="1"/>
    </font>
    <font>
      <sz val="11"/>
      <color rgb="FF000000"/>
      <name val="Calibri"/>
      <scheme val="minor"/>
    </font>
    <font>
      <sz val="11"/>
      <color rgb="FF000000"/>
      <name val="Calibri"/>
    </font>
    <font>
      <sz val="11"/>
      <color rgb="FF000000"/>
      <name val="Calibri"/>
      <family val="2"/>
      <scheme val="minor"/>
    </font>
    <font>
      <sz val="14"/>
      <color theme="1"/>
      <name val="Calibri"/>
      <family val="2"/>
      <scheme val="minor"/>
    </font>
    <font>
      <sz val="11"/>
      <color rgb="FF000000"/>
      <name val="Calibri"/>
      <charset val="1"/>
    </font>
    <font>
      <sz val="11"/>
      <color rgb="FF000000"/>
      <name val="Aptos Narrow"/>
      <charset val="1"/>
    </font>
    <font>
      <b/>
      <sz val="11"/>
      <color theme="1"/>
      <name val="Calibri"/>
      <family val="2"/>
      <scheme val="minor"/>
    </font>
    <font>
      <sz val="10"/>
      <color rgb="FF000000"/>
      <name val="Calibri"/>
      <family val="2"/>
    </font>
    <font>
      <sz val="10"/>
      <color theme="1"/>
      <name val="Calibri"/>
      <family val="2"/>
      <scheme val="minor"/>
    </font>
    <font>
      <i/>
      <sz val="11"/>
      <color theme="1"/>
      <name val="Calibri"/>
      <family val="2"/>
      <scheme val="minor"/>
    </font>
    <font>
      <i/>
      <strike/>
      <sz val="11"/>
      <color theme="1"/>
      <name val="Calibri"/>
      <family val="2"/>
      <scheme val="minor"/>
    </font>
    <font>
      <sz val="10"/>
      <color theme="1"/>
      <name val="Calibri"/>
      <scheme val="minor"/>
    </font>
    <font>
      <sz val="10"/>
      <color rgb="FF292A2E"/>
      <name val="Calibri"/>
      <scheme val="minor"/>
    </font>
    <font>
      <sz val="10"/>
      <color rgb="FF000000"/>
      <name val="Calibri"/>
      <scheme val="minor"/>
    </font>
    <font>
      <sz val="10"/>
      <color rgb="FF000000"/>
      <name val="Calibri"/>
      <charset val="1"/>
    </font>
    <font>
      <u/>
      <sz val="11"/>
      <color theme="10"/>
      <name val="Calibri"/>
      <scheme val="minor"/>
    </font>
    <font>
      <sz val="11"/>
      <color rgb="FF292A2E"/>
      <name val="Calibri"/>
      <scheme val="minor"/>
    </font>
    <font>
      <sz val="11"/>
      <color rgb="FF242424"/>
      <name val="Calibri"/>
      <scheme val="minor"/>
    </font>
    <font>
      <b/>
      <sz val="10"/>
      <color rgb="FF000000"/>
      <name val="Calibri"/>
      <scheme val="minor"/>
    </font>
    <font>
      <u/>
      <sz val="10"/>
      <color theme="10"/>
      <name val="Calibri"/>
      <scheme val="minor"/>
    </font>
    <font>
      <sz val="12"/>
      <color theme="4" tint="-0.249977111117893"/>
      <name val="Century Gothic"/>
      <family val="2"/>
    </font>
    <font>
      <b/>
      <u/>
      <sz val="12"/>
      <color theme="4" tint="-0.249977111117893"/>
      <name val="Verdana"/>
      <family val="2"/>
    </font>
    <font>
      <b/>
      <u/>
      <sz val="10"/>
      <color theme="4" tint="-0.249977111117893"/>
      <name val="Verdana"/>
      <family val="2"/>
    </font>
    <font>
      <sz val="9"/>
      <color theme="0"/>
      <name val="Century Gothic"/>
      <family val="2"/>
    </font>
    <font>
      <b/>
      <sz val="9"/>
      <color theme="0"/>
      <name val="Verdana"/>
      <family val="2"/>
    </font>
    <font>
      <sz val="9"/>
      <color theme="1"/>
      <name val="Verdana"/>
      <family val="2"/>
    </font>
    <font>
      <b/>
      <sz val="11"/>
      <color rgb="FF000000"/>
      <name val="Calibri"/>
      <scheme val="minor"/>
    </font>
    <font>
      <b/>
      <sz val="11"/>
      <color rgb="FF000000"/>
      <name val="Calibri"/>
    </font>
  </fonts>
  <fills count="11">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rgb="FFFFC000"/>
        <bgColor rgb="FF000000"/>
      </patternFill>
    </fill>
    <fill>
      <patternFill patternType="solid">
        <fgColor theme="4" tint="0.79998168889431442"/>
        <bgColor indexed="64"/>
      </patternFill>
    </fill>
    <fill>
      <patternFill patternType="solid">
        <fgColor rgb="FFFFC000"/>
        <bgColor indexed="64"/>
      </patternFill>
    </fill>
    <fill>
      <patternFill patternType="solid">
        <fgColor rgb="FFFFFFFF"/>
        <bgColor indexed="64"/>
      </patternFill>
    </fill>
    <fill>
      <patternFill patternType="solid">
        <fgColor rgb="FF92D050"/>
        <bgColor indexed="64"/>
      </patternFill>
    </fill>
    <fill>
      <patternFill patternType="solid">
        <fgColor rgb="FF00B0F0"/>
        <bgColor indexed="64"/>
      </patternFill>
    </fill>
    <fill>
      <patternFill patternType="solid">
        <fgColor theme="4" tint="-0.249977111117893"/>
        <bgColor indexed="64"/>
      </patternFill>
    </fill>
  </fills>
  <borders count="16">
    <border>
      <left/>
      <right/>
      <top/>
      <bottom/>
      <diagonal/>
    </border>
    <border>
      <left/>
      <right style="thin">
        <color rgb="FFD0D0D0"/>
      </right>
      <top/>
      <bottom style="thin">
        <color rgb="FFD0D0D0"/>
      </bottom>
      <diagonal/>
    </border>
    <border>
      <left style="thin">
        <color theme="4" tint="0.39994506668294322"/>
      </left>
      <right/>
      <top style="thin">
        <color theme="4" tint="0.39994506668294322"/>
      </top>
      <bottom style="thin">
        <color theme="4" tint="0.39994506668294322"/>
      </bottom>
      <diagonal/>
    </border>
    <border>
      <left/>
      <right/>
      <top style="thin">
        <color theme="4" tint="0.39994506668294322"/>
      </top>
      <bottom style="thin">
        <color theme="4" tint="0.39994506668294322"/>
      </bottom>
      <diagonal/>
    </border>
    <border>
      <left/>
      <right style="thin">
        <color theme="4" tint="0.39994506668294322"/>
      </right>
      <top style="thin">
        <color theme="4" tint="0.39994506668294322"/>
      </top>
      <bottom style="thin">
        <color theme="4" tint="0.39994506668294322"/>
      </bottom>
      <diagonal/>
    </border>
    <border>
      <left style="thin">
        <color theme="0" tint="-0.249977111117893"/>
      </left>
      <right style="thin">
        <color theme="0" tint="-0.249977111117893"/>
      </right>
      <top style="thin">
        <color theme="0" tint="-0.249977111117893"/>
      </top>
      <bottom style="double">
        <color theme="4" tint="0.59996337778862885"/>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249977111117893"/>
      </left>
      <right style="thin">
        <color theme="0" tint="-0.249977111117893"/>
      </right>
      <top/>
      <bottom style="thin">
        <color theme="0" tint="-0.249977111117893"/>
      </bottom>
      <diagonal/>
    </border>
    <border>
      <left style="thin">
        <color theme="0" tint="-0.499984740745262"/>
      </left>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right/>
      <top style="thin">
        <color rgb="FFD9D9D9"/>
      </top>
      <bottom/>
      <diagonal/>
    </border>
  </borders>
  <cellStyleXfs count="2">
    <xf numFmtId="0" fontId="0" fillId="0" borderId="0"/>
    <xf numFmtId="0" fontId="3" fillId="0" borderId="0"/>
  </cellStyleXfs>
  <cellXfs count="196">
    <xf numFmtId="0" fontId="0" fillId="0" borderId="0" xfId="0"/>
    <xf numFmtId="0" fontId="0" fillId="0" borderId="0" xfId="0" applyAlignment="1">
      <alignment wrapText="1"/>
    </xf>
    <xf numFmtId="0" fontId="0" fillId="2" borderId="0" xfId="0" applyFill="1" applyAlignment="1">
      <alignment wrapText="1"/>
    </xf>
    <xf numFmtId="0" fontId="0" fillId="0" borderId="0" xfId="0" applyAlignment="1">
      <alignment vertical="top" wrapText="1"/>
    </xf>
    <xf numFmtId="0" fontId="0" fillId="3" borderId="0" xfId="0" applyFill="1" applyAlignment="1">
      <alignment wrapText="1"/>
    </xf>
    <xf numFmtId="0" fontId="4" fillId="4" borderId="0" xfId="0" applyFont="1" applyFill="1" applyAlignment="1">
      <alignment wrapText="1"/>
    </xf>
    <xf numFmtId="0" fontId="5" fillId="0" borderId="0" xfId="0" applyFont="1"/>
    <xf numFmtId="0" fontId="4" fillId="0" borderId="0" xfId="0" applyFont="1"/>
    <xf numFmtId="0" fontId="4" fillId="0" borderId="0" xfId="0" applyFont="1" applyAlignment="1">
      <alignment wrapText="1"/>
    </xf>
    <xf numFmtId="0" fontId="5" fillId="0" borderId="0" xfId="0" applyFont="1" applyAlignment="1">
      <alignment wrapText="1"/>
    </xf>
    <xf numFmtId="0" fontId="6" fillId="0" borderId="1" xfId="0" applyFont="1" applyBorder="1"/>
    <xf numFmtId="0" fontId="6" fillId="0" borderId="1" xfId="0" applyFont="1" applyBorder="1" applyAlignment="1">
      <alignment wrapText="1"/>
    </xf>
    <xf numFmtId="0" fontId="3" fillId="0" borderId="0" xfId="1"/>
    <xf numFmtId="0" fontId="0" fillId="3" borderId="0" xfId="0" applyFill="1"/>
    <xf numFmtId="0" fontId="3" fillId="3" borderId="0" xfId="1" applyFill="1"/>
    <xf numFmtId="0" fontId="8" fillId="0" borderId="0" xfId="0" applyFont="1"/>
    <xf numFmtId="0" fontId="0" fillId="0" borderId="0" xfId="0" applyAlignment="1">
      <alignment horizontal="left" vertical="top" wrapText="1"/>
    </xf>
    <xf numFmtId="0" fontId="9" fillId="0" borderId="0" xfId="0" applyFont="1"/>
    <xf numFmtId="0" fontId="4" fillId="5" borderId="0" xfId="0" applyFont="1" applyFill="1"/>
    <xf numFmtId="0" fontId="0" fillId="6" borderId="0" xfId="0" applyFill="1"/>
    <xf numFmtId="0" fontId="13" fillId="0" borderId="0" xfId="0" applyFont="1" applyAlignment="1">
      <alignment horizontal="center" vertical="center"/>
    </xf>
    <xf numFmtId="0" fontId="9" fillId="0" borderId="0" xfId="0" applyFont="1" applyAlignment="1">
      <alignment wrapText="1"/>
    </xf>
    <xf numFmtId="0" fontId="5" fillId="0" borderId="0" xfId="0" applyFont="1" applyAlignment="1">
      <alignment horizontal="center"/>
    </xf>
    <xf numFmtId="0" fontId="7" fillId="0" borderId="0" xfId="0" applyFont="1" applyAlignment="1">
      <alignment wrapText="1"/>
    </xf>
    <xf numFmtId="0" fontId="5" fillId="0" borderId="0" xfId="0" applyFont="1" applyAlignment="1">
      <alignment vertical="top" wrapText="1"/>
    </xf>
    <xf numFmtId="0" fontId="4" fillId="0" borderId="0" xfId="0" applyFont="1" applyAlignment="1">
      <alignment vertical="top" wrapText="1"/>
    </xf>
    <xf numFmtId="0" fontId="17" fillId="4" borderId="0" xfId="0" applyFont="1" applyFill="1" applyAlignment="1">
      <alignment wrapText="1"/>
    </xf>
    <xf numFmtId="0" fontId="11" fillId="4" borderId="0" xfId="0" applyFont="1" applyFill="1" applyAlignment="1">
      <alignment wrapText="1"/>
    </xf>
    <xf numFmtId="10" fontId="0" fillId="0" borderId="0" xfId="0" applyNumberFormat="1" applyAlignment="1">
      <alignment horizontal="center"/>
    </xf>
    <xf numFmtId="0" fontId="19" fillId="0" borderId="0" xfId="0" applyFont="1"/>
    <xf numFmtId="0" fontId="16" fillId="5" borderId="0" xfId="0" applyFont="1" applyFill="1" applyAlignment="1">
      <alignment horizontal="center"/>
    </xf>
    <xf numFmtId="0" fontId="18" fillId="0" borderId="0" xfId="0" applyFont="1" applyAlignment="1">
      <alignment wrapText="1"/>
    </xf>
    <xf numFmtId="0" fontId="15" fillId="0" borderId="0" xfId="0" applyFont="1" applyAlignment="1">
      <alignment vertical="top" wrapText="1"/>
    </xf>
    <xf numFmtId="0" fontId="0" fillId="0" borderId="0" xfId="0" applyAlignment="1">
      <alignment vertical="top"/>
    </xf>
    <xf numFmtId="0" fontId="5" fillId="0" borderId="0" xfId="0" applyFont="1" applyAlignment="1">
      <alignment horizontal="left" vertical="top" wrapText="1"/>
    </xf>
    <xf numFmtId="0" fontId="5" fillId="0" borderId="0" xfId="0" applyFont="1" applyAlignment="1">
      <alignment horizontal="left" vertical="center"/>
    </xf>
    <xf numFmtId="16" fontId="0" fillId="0" borderId="0" xfId="0" applyNumberFormat="1"/>
    <xf numFmtId="0" fontId="12" fillId="0" borderId="0" xfId="0" applyFont="1" applyAlignment="1">
      <alignment wrapText="1"/>
    </xf>
    <xf numFmtId="0" fontId="19" fillId="3" borderId="0" xfId="0" applyFont="1" applyFill="1"/>
    <xf numFmtId="0" fontId="19" fillId="8" borderId="0" xfId="0" applyFont="1" applyFill="1"/>
    <xf numFmtId="0" fontId="20" fillId="0" borderId="0" xfId="0" applyFont="1"/>
    <xf numFmtId="0" fontId="20" fillId="0" borderId="0" xfId="0" applyFont="1" applyAlignment="1">
      <alignment wrapText="1"/>
    </xf>
    <xf numFmtId="0" fontId="0" fillId="0" borderId="0" xfId="0" applyAlignment="1">
      <alignment horizontal="center" vertical="top" wrapText="1"/>
    </xf>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center"/>
    </xf>
    <xf numFmtId="0" fontId="11" fillId="6" borderId="0" xfId="0" applyFont="1" applyFill="1" applyAlignment="1">
      <alignment wrapText="1"/>
    </xf>
    <xf numFmtId="0" fontId="21" fillId="0" borderId="0" xfId="0" applyFont="1" applyAlignment="1">
      <alignment horizontal="left" wrapText="1"/>
    </xf>
    <xf numFmtId="0" fontId="21" fillId="0" borderId="0" xfId="0" applyFont="1" applyAlignment="1">
      <alignment horizontal="left" vertical="center" wrapText="1"/>
    </xf>
    <xf numFmtId="0" fontId="22" fillId="0" borderId="0" xfId="0" applyFont="1" applyAlignment="1">
      <alignment horizontal="left" wrapText="1"/>
    </xf>
    <xf numFmtId="0" fontId="21" fillId="0" borderId="0" xfId="0" applyFont="1" applyAlignment="1">
      <alignment horizontal="left" vertical="top" wrapText="1"/>
    </xf>
    <xf numFmtId="0" fontId="22" fillId="0" borderId="0" xfId="0" applyFont="1" applyAlignment="1">
      <alignment horizontal="left" vertical="top" wrapText="1"/>
    </xf>
    <xf numFmtId="0" fontId="11" fillId="6" borderId="0" xfId="0" applyFont="1" applyFill="1" applyAlignment="1">
      <alignment vertical="top" wrapText="1"/>
    </xf>
    <xf numFmtId="0" fontId="21" fillId="0" borderId="0" xfId="0" applyFont="1" applyAlignment="1">
      <alignment vertical="top" wrapText="1"/>
    </xf>
    <xf numFmtId="0" fontId="22" fillId="0" borderId="0" xfId="0" applyFont="1" applyAlignment="1">
      <alignment vertical="top" wrapText="1"/>
    </xf>
    <xf numFmtId="0" fontId="0" fillId="6" borderId="0" xfId="0" applyFill="1" applyAlignment="1">
      <alignment wrapText="1"/>
    </xf>
    <xf numFmtId="0" fontId="23" fillId="0" borderId="0" xfId="0" applyFont="1" applyAlignment="1">
      <alignment horizontal="left" vertical="top" wrapText="1"/>
    </xf>
    <xf numFmtId="0" fontId="0" fillId="2" borderId="0" xfId="0" applyFill="1" applyAlignment="1">
      <alignment horizontal="center" wrapText="1"/>
    </xf>
    <xf numFmtId="0" fontId="3" fillId="0" borderId="0" xfId="1" applyAlignment="1">
      <alignment horizontal="left" vertical="center"/>
    </xf>
    <xf numFmtId="0" fontId="0" fillId="3" borderId="0" xfId="0" applyFill="1" applyAlignment="1">
      <alignment horizontal="left" vertical="top"/>
    </xf>
    <xf numFmtId="0" fontId="0" fillId="2" borderId="0" xfId="0" applyFill="1" applyAlignment="1">
      <alignment horizontal="left" vertical="top" wrapText="1"/>
    </xf>
    <xf numFmtId="0" fontId="3" fillId="0" borderId="0" xfId="1" applyAlignment="1">
      <alignment horizontal="left" vertical="top" wrapText="1"/>
    </xf>
    <xf numFmtId="0" fontId="12" fillId="0" borderId="0" xfId="0" applyFont="1" applyAlignment="1">
      <alignment horizontal="left" vertical="top" wrapText="1"/>
    </xf>
    <xf numFmtId="0" fontId="3" fillId="0" borderId="0" xfId="1" applyAlignment="1">
      <alignment horizontal="left" vertical="top"/>
    </xf>
    <xf numFmtId="0" fontId="14" fillId="7" borderId="0" xfId="0" applyFont="1" applyFill="1" applyAlignment="1">
      <alignment horizontal="left" vertical="top" wrapText="1"/>
    </xf>
    <xf numFmtId="0" fontId="14" fillId="7" borderId="0" xfId="0" applyFont="1" applyFill="1" applyAlignment="1">
      <alignment horizontal="left" vertical="top"/>
    </xf>
    <xf numFmtId="0" fontId="9" fillId="0" borderId="0" xfId="0" applyFont="1" applyAlignment="1">
      <alignment horizontal="left" vertical="top" wrapText="1"/>
    </xf>
    <xf numFmtId="0" fontId="9"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horizontal="left" vertical="top"/>
    </xf>
    <xf numFmtId="0" fontId="7" fillId="0" borderId="0" xfId="0" applyFont="1" applyAlignment="1">
      <alignment horizontal="left" vertical="top" wrapText="1"/>
    </xf>
    <xf numFmtId="0" fontId="8" fillId="0" borderId="0" xfId="0" applyFont="1" applyAlignment="1">
      <alignment horizontal="left" vertical="top"/>
    </xf>
    <xf numFmtId="0" fontId="0" fillId="8" borderId="0" xfId="0" applyFill="1"/>
    <xf numFmtId="0" fontId="2" fillId="0" borderId="0" xfId="0" applyFont="1" applyAlignment="1">
      <alignment wrapText="1"/>
    </xf>
    <xf numFmtId="0" fontId="2" fillId="0" borderId="0" xfId="0" applyFont="1"/>
    <xf numFmtId="0" fontId="0" fillId="0" borderId="0" xfId="0" applyAlignment="1">
      <alignment horizontal="left" vertical="center"/>
    </xf>
    <xf numFmtId="0" fontId="0" fillId="2" borderId="0" xfId="0" applyFill="1" applyAlignment="1">
      <alignment vertical="top" wrapText="1"/>
    </xf>
    <xf numFmtId="0" fontId="3" fillId="0" borderId="0" xfId="1" applyAlignment="1">
      <alignment vertical="top" wrapText="1"/>
    </xf>
    <xf numFmtId="0" fontId="0" fillId="0" borderId="0" xfId="0" applyAlignment="1">
      <alignment horizontal="center" vertical="center"/>
    </xf>
    <xf numFmtId="0" fontId="24" fillId="0" borderId="0" xfId="0" applyFont="1"/>
    <xf numFmtId="0" fontId="10" fillId="0" borderId="0" xfId="0" applyFont="1" applyAlignment="1">
      <alignment wrapText="1"/>
    </xf>
    <xf numFmtId="0" fontId="10" fillId="0" borderId="0" xfId="0" applyFont="1" applyAlignment="1">
      <alignment horizontal="center" vertical="center" wrapText="1"/>
    </xf>
    <xf numFmtId="0" fontId="25" fillId="0" borderId="0" xfId="1" applyFont="1" applyAlignment="1">
      <alignment horizontal="left" vertical="top" wrapText="1"/>
    </xf>
    <xf numFmtId="0" fontId="25" fillId="0" borderId="0" xfId="1" applyFont="1" applyAlignment="1">
      <alignment wrapText="1"/>
    </xf>
    <xf numFmtId="0" fontId="10" fillId="0" borderId="0" xfId="0" applyFont="1" applyAlignment="1">
      <alignment horizontal="left" vertical="top" wrapText="1"/>
    </xf>
    <xf numFmtId="0" fontId="26" fillId="0" borderId="0" xfId="0" applyFont="1"/>
    <xf numFmtId="0" fontId="27" fillId="0" borderId="0" xfId="0" applyFont="1"/>
    <xf numFmtId="0" fontId="26" fillId="0" borderId="0" xfId="0" applyFont="1" applyAlignment="1">
      <alignment wrapText="1"/>
    </xf>
    <xf numFmtId="0" fontId="0" fillId="9" borderId="0" xfId="0" applyFill="1"/>
    <xf numFmtId="0" fontId="23" fillId="4" borderId="0" xfId="0" applyFont="1" applyFill="1" applyAlignment="1">
      <alignment wrapText="1"/>
    </xf>
    <xf numFmtId="0" fontId="23" fillId="3" borderId="0" xfId="0" applyFont="1" applyFill="1" applyAlignment="1">
      <alignment wrapText="1"/>
    </xf>
    <xf numFmtId="0" fontId="23" fillId="0" borderId="0" xfId="0" applyFont="1"/>
    <xf numFmtId="0" fontId="23" fillId="3" borderId="0" xfId="0" applyFont="1" applyFill="1"/>
    <xf numFmtId="0" fontId="23" fillId="0" borderId="0" xfId="0" applyFont="1" applyAlignment="1">
      <alignment wrapText="1"/>
    </xf>
    <xf numFmtId="0" fontId="22" fillId="0" borderId="0" xfId="0" applyFont="1" applyAlignment="1">
      <alignment wrapText="1"/>
    </xf>
    <xf numFmtId="0" fontId="21" fillId="0" borderId="0" xfId="0" applyFont="1"/>
    <xf numFmtId="0" fontId="21" fillId="3" borderId="0" xfId="0" applyFont="1" applyFill="1"/>
    <xf numFmtId="0" fontId="21" fillId="0" borderId="0" xfId="0" applyFont="1" applyAlignment="1">
      <alignment wrapText="1"/>
    </xf>
    <xf numFmtId="0" fontId="29" fillId="3" borderId="0" xfId="1" applyFont="1" applyFill="1" applyAlignment="1">
      <alignment wrapText="1"/>
    </xf>
    <xf numFmtId="0" fontId="29" fillId="3" borderId="0" xfId="1" applyFont="1" applyFill="1"/>
    <xf numFmtId="0" fontId="3" fillId="0" borderId="0" xfId="1" applyAlignment="1">
      <alignment horizontal="center" vertical="top" wrapText="1"/>
    </xf>
    <xf numFmtId="0" fontId="30" fillId="0" borderId="0" xfId="0" applyFont="1" applyAlignment="1">
      <alignment horizontal="center" vertical="center"/>
    </xf>
    <xf numFmtId="0" fontId="31" fillId="0" borderId="0" xfId="0" applyFont="1" applyAlignment="1">
      <alignment horizontal="center" vertical="center"/>
    </xf>
    <xf numFmtId="0" fontId="32" fillId="0" borderId="0" xfId="0" applyFont="1" applyAlignment="1">
      <alignment horizontal="center" vertical="center"/>
    </xf>
    <xf numFmtId="0" fontId="0" fillId="5" borderId="2" xfId="0" applyFill="1" applyBorder="1"/>
    <xf numFmtId="0" fontId="0" fillId="5" borderId="3" xfId="0" applyFill="1" applyBorder="1"/>
    <xf numFmtId="0" fontId="0" fillId="5" borderId="4" xfId="0" applyFill="1" applyBorder="1"/>
    <xf numFmtId="0" fontId="0" fillId="5" borderId="0" xfId="0" applyFill="1"/>
    <xf numFmtId="0" fontId="33" fillId="10" borderId="5" xfId="0" applyFont="1" applyFill="1" applyBorder="1" applyAlignment="1">
      <alignment horizontal="center" vertical="center"/>
    </xf>
    <xf numFmtId="0" fontId="34" fillId="10" borderId="6" xfId="0" applyFont="1" applyFill="1" applyBorder="1" applyAlignment="1">
      <alignment horizontal="center" vertical="center"/>
    </xf>
    <xf numFmtId="0" fontId="34" fillId="10" borderId="7" xfId="0" applyFont="1" applyFill="1" applyBorder="1" applyAlignment="1">
      <alignment horizontal="center" vertical="center"/>
    </xf>
    <xf numFmtId="0" fontId="35" fillId="0" borderId="8" xfId="0" applyFont="1" applyBorder="1" applyAlignment="1">
      <alignment horizontal="center" vertical="center"/>
    </xf>
    <xf numFmtId="14" fontId="35" fillId="0" borderId="8" xfId="0" applyNumberFormat="1" applyFont="1" applyBorder="1" applyAlignment="1">
      <alignment horizontal="center" vertical="center"/>
    </xf>
    <xf numFmtId="0" fontId="35" fillId="0" borderId="8" xfId="0" applyFont="1" applyBorder="1" applyAlignment="1">
      <alignment horizontal="left" indent="1"/>
    </xf>
    <xf numFmtId="0" fontId="35" fillId="0" borderId="6" xfId="0" applyFont="1" applyBorder="1"/>
    <xf numFmtId="0" fontId="35" fillId="0" borderId="9" xfId="0" applyFont="1" applyBorder="1"/>
    <xf numFmtId="0" fontId="35" fillId="0" borderId="6" xfId="0" applyFont="1" applyBorder="1" applyAlignment="1">
      <alignment horizontal="center"/>
    </xf>
    <xf numFmtId="0" fontId="35" fillId="0" borderId="10" xfId="0" applyFont="1" applyBorder="1" applyAlignment="1">
      <alignment horizontal="center" vertical="center"/>
    </xf>
    <xf numFmtId="0" fontId="35" fillId="0" borderId="10" xfId="0" applyFont="1" applyBorder="1" applyAlignment="1">
      <alignment horizontal="left" indent="1"/>
    </xf>
    <xf numFmtId="0" fontId="0" fillId="0" borderId="6" xfId="0" applyBorder="1"/>
    <xf numFmtId="9" fontId="0" fillId="0" borderId="0" xfId="0" applyNumberFormat="1" applyAlignment="1">
      <alignment horizontal="center"/>
    </xf>
    <xf numFmtId="164" fontId="0" fillId="0" borderId="6" xfId="0" applyNumberFormat="1" applyBorder="1"/>
    <xf numFmtId="0" fontId="35" fillId="0" borderId="0" xfId="0" applyFont="1" applyAlignment="1">
      <alignment horizontal="left" indent="1"/>
    </xf>
    <xf numFmtId="0" fontId="14" fillId="0" borderId="0" xfId="0" applyFont="1"/>
    <xf numFmtId="0" fontId="11" fillId="0" borderId="12" xfId="0" applyFont="1" applyBorder="1" applyAlignment="1">
      <alignment wrapText="1"/>
    </xf>
    <xf numFmtId="0" fontId="11" fillId="0" borderId="11" xfId="0" applyFont="1" applyBorder="1" applyAlignment="1">
      <alignment horizontal="left" vertical="top" wrapText="1"/>
    </xf>
    <xf numFmtId="0" fontId="11" fillId="0" borderId="11" xfId="0" applyFont="1" applyBorder="1" applyAlignment="1">
      <alignment vertical="top" wrapText="1"/>
    </xf>
    <xf numFmtId="0" fontId="11" fillId="0" borderId="12" xfId="0" applyFont="1" applyBorder="1" applyAlignment="1">
      <alignment horizontal="left" vertical="top" wrapText="1"/>
    </xf>
    <xf numFmtId="0" fontId="11" fillId="0" borderId="0" xfId="0" applyFont="1" applyAlignment="1">
      <alignment wrapText="1"/>
    </xf>
    <xf numFmtId="0" fontId="0" fillId="9" borderId="0" xfId="0" applyFill="1" applyAlignment="1">
      <alignment vertical="top" wrapText="1"/>
    </xf>
    <xf numFmtId="0" fontId="11" fillId="9" borderId="12" xfId="0" applyFont="1" applyFill="1" applyBorder="1" applyAlignment="1">
      <alignment wrapText="1"/>
    </xf>
    <xf numFmtId="0" fontId="11" fillId="0" borderId="12" xfId="0" applyFont="1" applyBorder="1" applyAlignment="1">
      <alignment horizontal="center" wrapText="1"/>
    </xf>
    <xf numFmtId="0" fontId="10" fillId="0" borderId="0" xfId="0" applyFont="1" applyAlignment="1">
      <alignment vertical="center" wrapText="1"/>
    </xf>
    <xf numFmtId="0" fontId="0" fillId="0" borderId="0" xfId="0" quotePrefix="1" applyAlignment="1">
      <alignment wrapText="1"/>
    </xf>
    <xf numFmtId="0" fontId="14" fillId="0" borderId="0" xfId="0" applyFont="1" applyAlignment="1">
      <alignment wrapText="1"/>
    </xf>
    <xf numFmtId="0" fontId="27" fillId="0" borderId="0" xfId="0" applyFont="1" applyAlignment="1">
      <alignment wrapText="1"/>
    </xf>
    <xf numFmtId="0" fontId="0" fillId="0" borderId="0" xfId="0" applyAlignment="1">
      <alignment horizontal="center" vertical="top" wrapText="1"/>
    </xf>
    <xf numFmtId="0" fontId="9" fillId="0" borderId="0" xfId="0" applyFont="1" applyAlignment="1">
      <alignment horizontal="center" vertical="center" wrapText="1"/>
    </xf>
    <xf numFmtId="0" fontId="11" fillId="0" borderId="0" xfId="0" applyFont="1" applyAlignment="1">
      <alignment horizontal="center" vertical="center" wrapText="1"/>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11" fillId="0" borderId="0" xfId="0" applyFont="1" applyAlignment="1">
      <alignment horizontal="center" vertical="top" wrapText="1"/>
    </xf>
    <xf numFmtId="0" fontId="11" fillId="0" borderId="0" xfId="0" applyFont="1" applyAlignment="1">
      <alignment vertical="center" wrapText="1"/>
    </xf>
    <xf numFmtId="0" fontId="21" fillId="0" borderId="0" xfId="0" applyFont="1" applyAlignment="1">
      <alignment vertical="center" wrapText="1"/>
    </xf>
    <xf numFmtId="0" fontId="0" fillId="0" borderId="0" xfId="0" applyAlignment="1">
      <alignment vertical="top"/>
    </xf>
    <xf numFmtId="0" fontId="0" fillId="3" borderId="0" xfId="0" applyFill="1" applyAlignment="1">
      <alignment horizontal="center"/>
    </xf>
    <xf numFmtId="0" fontId="21" fillId="0" borderId="0" xfId="0" applyFont="1" applyAlignment="1">
      <alignment horizontal="center" vertical="top" wrapText="1"/>
    </xf>
    <xf numFmtId="0" fontId="22" fillId="0" borderId="0" xfId="0" applyFont="1" applyAlignment="1">
      <alignment horizontal="center" vertical="center" wrapText="1"/>
    </xf>
    <xf numFmtId="0" fontId="21" fillId="0" borderId="0" xfId="0" applyFont="1" applyAlignment="1">
      <alignment horizontal="center" vertical="center" wrapText="1"/>
    </xf>
    <xf numFmtId="0" fontId="22" fillId="0" borderId="0" xfId="0" applyFont="1" applyAlignment="1">
      <alignment vertical="center" wrapText="1"/>
    </xf>
    <xf numFmtId="0" fontId="10" fillId="0" borderId="0" xfId="0" applyFont="1" applyAlignment="1">
      <alignment horizontal="center" vertical="center" wrapText="1"/>
    </xf>
    <xf numFmtId="0" fontId="27" fillId="0" borderId="0" xfId="0" applyFont="1" applyAlignment="1">
      <alignment horizontal="center" vertical="center" wrapText="1"/>
    </xf>
    <xf numFmtId="0" fontId="26" fillId="0" borderId="0" xfId="0" applyFont="1" applyAlignment="1">
      <alignment horizontal="center" vertical="center" wrapText="1"/>
    </xf>
    <xf numFmtId="0" fontId="14" fillId="0" borderId="0" xfId="0" applyFont="1" applyAlignment="1">
      <alignment horizontal="center" vertical="center"/>
    </xf>
    <xf numFmtId="0" fontId="16" fillId="0" borderId="0" xfId="0" applyFont="1" applyAlignment="1">
      <alignment horizontal="center" vertical="center" wrapText="1"/>
    </xf>
    <xf numFmtId="0" fontId="4" fillId="0" borderId="0" xfId="0" applyFont="1" applyAlignment="1">
      <alignment horizontal="center" vertical="top" wrapText="1"/>
    </xf>
    <xf numFmtId="0" fontId="4" fillId="0" borderId="0" xfId="0" applyFont="1" applyAlignment="1">
      <alignment vertical="top" wrapText="1"/>
    </xf>
    <xf numFmtId="0" fontId="0" fillId="0" borderId="0" xfId="0" applyAlignment="1">
      <alignment wrapText="1"/>
    </xf>
    <xf numFmtId="0" fontId="5" fillId="0" borderId="0" xfId="0" applyFont="1" applyAlignment="1">
      <alignment horizontal="center"/>
    </xf>
    <xf numFmtId="0" fontId="5" fillId="0" borderId="0" xfId="0" applyFont="1" applyAlignment="1">
      <alignment vertical="top" wrapText="1"/>
    </xf>
    <xf numFmtId="0" fontId="4" fillId="0" borderId="0" xfId="0" applyFont="1" applyAlignment="1">
      <alignment horizontal="center" wrapText="1"/>
    </xf>
    <xf numFmtId="0" fontId="4" fillId="0" borderId="0" xfId="0" applyFont="1" applyAlignment="1">
      <alignment horizontal="center" vertical="center" wrapText="1"/>
    </xf>
    <xf numFmtId="0" fontId="0" fillId="0" borderId="15" xfId="0" applyBorder="1" applyAlignment="1">
      <alignment horizontal="left" vertical="top" wrapText="1"/>
    </xf>
    <xf numFmtId="0" fontId="0" fillId="0" borderId="0" xfId="0" applyAlignment="1">
      <alignment horizontal="left" vertical="top" wrapText="1"/>
    </xf>
    <xf numFmtId="0" fontId="11" fillId="0" borderId="13" xfId="0" applyFont="1" applyBorder="1" applyAlignment="1">
      <alignment horizontal="left" vertical="top" wrapText="1"/>
    </xf>
    <xf numFmtId="0" fontId="11" fillId="0" borderId="14" xfId="0" applyFont="1" applyBorder="1" applyAlignment="1">
      <alignment horizontal="left" vertical="top" wrapText="1"/>
    </xf>
    <xf numFmtId="0" fontId="11" fillId="0" borderId="12" xfId="0" applyFont="1" applyBorder="1" applyAlignment="1">
      <alignment horizontal="left" vertical="top" wrapText="1"/>
    </xf>
    <xf numFmtId="0" fontId="11" fillId="0" borderId="14" xfId="0" applyFont="1" applyBorder="1" applyAlignment="1">
      <alignment horizontal="center" vertical="top" wrapText="1"/>
    </xf>
    <xf numFmtId="0" fontId="11" fillId="0" borderId="12" xfId="0" applyFont="1" applyBorder="1" applyAlignment="1">
      <alignment horizontal="center" vertical="top" wrapText="1"/>
    </xf>
    <xf numFmtId="0" fontId="11" fillId="0" borderId="15" xfId="0" applyFont="1" applyBorder="1" applyAlignment="1">
      <alignment horizontal="center" wrapText="1"/>
    </xf>
    <xf numFmtId="0" fontId="11" fillId="0" borderId="0" xfId="0" applyFont="1" applyAlignment="1">
      <alignment horizontal="center" wrapText="1"/>
    </xf>
    <xf numFmtId="0" fontId="11" fillId="0" borderId="13" xfId="0" applyFont="1" applyBorder="1" applyAlignment="1">
      <alignment horizontal="center" wrapText="1"/>
    </xf>
    <xf numFmtId="0" fontId="11" fillId="0" borderId="12" xfId="0" applyFont="1" applyBorder="1" applyAlignment="1">
      <alignment horizontal="center" wrapText="1"/>
    </xf>
    <xf numFmtId="0" fontId="16" fillId="5" borderId="0" xfId="0" applyFont="1" applyFill="1" applyAlignment="1">
      <alignment horizontal="center"/>
    </xf>
    <xf numFmtId="0" fontId="23" fillId="0" borderId="0" xfId="0" applyFont="1" applyAlignment="1">
      <alignment wrapText="1"/>
    </xf>
    <xf numFmtId="0" fontId="23" fillId="0" borderId="0" xfId="0" applyFont="1" applyAlignment="1">
      <alignment horizontal="center"/>
    </xf>
    <xf numFmtId="0" fontId="23" fillId="0" borderId="0" xfId="0" applyFont="1" applyAlignment="1">
      <alignment horizontal="center" wrapText="1"/>
    </xf>
    <xf numFmtId="0" fontId="28" fillId="0" borderId="0" xfId="0" applyFont="1" applyAlignment="1">
      <alignment wrapText="1"/>
    </xf>
    <xf numFmtId="0" fontId="0" fillId="0" borderId="0" xfId="0" applyAlignment="1">
      <alignment vertical="top" wrapText="1"/>
    </xf>
    <xf numFmtId="0" fontId="3" fillId="0" borderId="0" xfId="1" applyAlignment="1">
      <alignment horizontal="center" vertical="top" wrapText="1"/>
    </xf>
    <xf numFmtId="0" fontId="0" fillId="0" borderId="0" xfId="0" applyAlignment="1"/>
    <xf numFmtId="0" fontId="1" fillId="2" borderId="0" xfId="0" applyFont="1" applyFill="1" applyAlignment="1">
      <alignment wrapText="1"/>
    </xf>
    <xf numFmtId="0" fontId="1" fillId="0" borderId="0" xfId="0" applyFont="1" applyAlignment="1">
      <alignment wrapText="1"/>
    </xf>
    <xf numFmtId="0" fontId="1" fillId="0" borderId="0" xfId="0" applyFont="1" applyAlignment="1">
      <alignment horizontal="left" vertical="top" wrapText="1"/>
    </xf>
    <xf numFmtId="0" fontId="1" fillId="0" borderId="0" xfId="0" applyFont="1" applyAlignment="1">
      <alignment vertical="top" wrapText="1"/>
    </xf>
    <xf numFmtId="0" fontId="1" fillId="0" borderId="0" xfId="0" applyFont="1" applyAlignment="1">
      <alignment horizontal="left" vertical="top" wrapText="1"/>
    </xf>
    <xf numFmtId="0" fontId="1" fillId="0" borderId="0" xfId="0" applyFont="1" applyAlignment="1">
      <alignment horizontal="center" vertical="center" wrapText="1"/>
    </xf>
    <xf numFmtId="0" fontId="1" fillId="0" borderId="0" xfId="0" applyFont="1" applyAlignment="1">
      <alignment wrapText="1"/>
    </xf>
    <xf numFmtId="0" fontId="1" fillId="0" borderId="0" xfId="0" applyFont="1" applyAlignment="1">
      <alignment vertical="top" wrapText="1"/>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quotePrefix="1" applyFont="1" applyAlignment="1">
      <alignment wrapText="1"/>
    </xf>
    <xf numFmtId="0" fontId="23" fillId="0" borderId="0" xfId="0" applyFont="1" applyAlignment="1"/>
    <xf numFmtId="0" fontId="21" fillId="0" borderId="0" xfId="0" applyFont="1" applyAlignment="1"/>
  </cellXfs>
  <cellStyles count="2">
    <cellStyle name="Hyperlink" xfId="1" builtinId="8"/>
    <cellStyle name="Normal" xfId="0" builtinId="0"/>
  </cellStyles>
  <dxfs count="5">
    <dxf>
      <fill>
        <patternFill>
          <bgColor theme="4" tint="0.79998168889431442"/>
        </patternFill>
      </fill>
    </dxf>
    <dxf>
      <fill>
        <patternFill>
          <bgColor theme="9" tint="0.39994506668294322"/>
        </patternFill>
      </fill>
    </dxf>
    <dxf>
      <fill>
        <patternFill>
          <bgColor theme="7" tint="0.39994506668294322"/>
        </patternFill>
      </fill>
    </dxf>
    <dxf>
      <fill>
        <patternFill>
          <bgColor rgb="FFFF5050"/>
        </patternFill>
      </fill>
    </dxf>
    <dxf>
      <font>
        <strike/>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TEST SUMMARY MODULE</a:t>
            </a:r>
          </a:p>
        </c:rich>
      </c:tx>
      <c:layout>
        <c:manualLayout>
          <c:xMode val="edge"/>
          <c:yMode val="edge"/>
          <c:x val="0.43846562872489836"/>
          <c:y val="2.17284402729552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'QA Test Summary'!$C$3</c:f>
              <c:strCache>
                <c:ptCount val="1"/>
                <c:pt idx="0">
                  <c:v># Created</c:v>
                </c:pt>
              </c:strCache>
            </c:strRef>
          </c:tx>
          <c:spPr>
            <a:solidFill>
              <a:schemeClr val="accent1"/>
            </a:solidFill>
            <a:ln>
              <a:noFill/>
            </a:ln>
            <a:effectLst/>
          </c:spPr>
          <c:invertIfNegative val="0"/>
          <c:cat>
            <c:strRef>
              <c:f>'QA Test Summary'!$B$4:$B$17</c:f>
              <c:strCache>
                <c:ptCount val="14"/>
                <c:pt idx="0">
                  <c:v>Budget</c:v>
                </c:pt>
                <c:pt idx="1">
                  <c:v>Seat &amp; Capacity</c:v>
                </c:pt>
                <c:pt idx="2">
                  <c:v>Screening</c:v>
                </c:pt>
                <c:pt idx="3">
                  <c:v>Enrollment</c:v>
                </c:pt>
                <c:pt idx="4">
                  <c:v>Attendance</c:v>
                </c:pt>
                <c:pt idx="5">
                  <c:v>Incident</c:v>
                </c:pt>
                <c:pt idx="6">
                  <c:v>Monitoring/Coaching log</c:v>
                </c:pt>
                <c:pt idx="7">
                  <c:v>Reporting / Dashboard</c:v>
                </c:pt>
                <c:pt idx="8">
                  <c:v>Invoice</c:v>
                </c:pt>
                <c:pt idx="9">
                  <c:v>Checklist &amp; Checklist Template</c:v>
                </c:pt>
                <c:pt idx="10">
                  <c:v>Procurement</c:v>
                </c:pt>
                <c:pt idx="11">
                  <c:v>Document Management</c:v>
                </c:pt>
                <c:pt idx="12">
                  <c:v>Data Migration</c:v>
                </c:pt>
                <c:pt idx="13">
                  <c:v>ESMS Integration with External Systems</c:v>
                </c:pt>
              </c:strCache>
            </c:strRef>
          </c:cat>
          <c:val>
            <c:numRef>
              <c:f>'QA Test Summary'!$C$4:$C$17</c:f>
              <c:numCache>
                <c:formatCode>General</c:formatCode>
                <c:ptCount val="14"/>
                <c:pt idx="0">
                  <c:v>146</c:v>
                </c:pt>
                <c:pt idx="1">
                  <c:v>31</c:v>
                </c:pt>
                <c:pt idx="2">
                  <c:v>29</c:v>
                </c:pt>
                <c:pt idx="3">
                  <c:v>47</c:v>
                </c:pt>
                <c:pt idx="4">
                  <c:v>95</c:v>
                </c:pt>
                <c:pt idx="5">
                  <c:v>56</c:v>
                </c:pt>
                <c:pt idx="6">
                  <c:v>59</c:v>
                </c:pt>
                <c:pt idx="7">
                  <c:v>0</c:v>
                </c:pt>
                <c:pt idx="8">
                  <c:v>38</c:v>
                </c:pt>
                <c:pt idx="9">
                  <c:v>61</c:v>
                </c:pt>
                <c:pt idx="10">
                  <c:v>0</c:v>
                </c:pt>
                <c:pt idx="11">
                  <c:v>0</c:v>
                </c:pt>
                <c:pt idx="12">
                  <c:v>0</c:v>
                </c:pt>
                <c:pt idx="13">
                  <c:v>0</c:v>
                </c:pt>
              </c:numCache>
            </c:numRef>
          </c:val>
          <c:extLst>
            <c:ext xmlns:c16="http://schemas.microsoft.com/office/drawing/2014/chart" uri="{C3380CC4-5D6E-409C-BE32-E72D297353CC}">
              <c16:uniqueId val="{00000000-EEFF-441D-8248-85FAEB2A8125}"/>
            </c:ext>
          </c:extLst>
        </c:ser>
        <c:ser>
          <c:idx val="1"/>
          <c:order val="1"/>
          <c:tx>
            <c:strRef>
              <c:f>'QA Test Summary'!$D$3</c:f>
              <c:strCache>
                <c:ptCount val="1"/>
                <c:pt idx="0">
                  <c:v># Design</c:v>
                </c:pt>
              </c:strCache>
            </c:strRef>
          </c:tx>
          <c:spPr>
            <a:solidFill>
              <a:schemeClr val="accent2"/>
            </a:solidFill>
            <a:ln>
              <a:noFill/>
            </a:ln>
            <a:effectLst/>
          </c:spPr>
          <c:invertIfNegative val="0"/>
          <c:cat>
            <c:strRef>
              <c:f>'QA Test Summary'!$B$4:$B$17</c:f>
              <c:strCache>
                <c:ptCount val="14"/>
                <c:pt idx="0">
                  <c:v>Budget</c:v>
                </c:pt>
                <c:pt idx="1">
                  <c:v>Seat &amp; Capacity</c:v>
                </c:pt>
                <c:pt idx="2">
                  <c:v>Screening</c:v>
                </c:pt>
                <c:pt idx="3">
                  <c:v>Enrollment</c:v>
                </c:pt>
                <c:pt idx="4">
                  <c:v>Attendance</c:v>
                </c:pt>
                <c:pt idx="5">
                  <c:v>Incident</c:v>
                </c:pt>
                <c:pt idx="6">
                  <c:v>Monitoring/Coaching log</c:v>
                </c:pt>
                <c:pt idx="7">
                  <c:v>Reporting / Dashboard</c:v>
                </c:pt>
                <c:pt idx="8">
                  <c:v>Invoice</c:v>
                </c:pt>
                <c:pt idx="9">
                  <c:v>Checklist &amp; Checklist Template</c:v>
                </c:pt>
                <c:pt idx="10">
                  <c:v>Procurement</c:v>
                </c:pt>
                <c:pt idx="11">
                  <c:v>Document Management</c:v>
                </c:pt>
                <c:pt idx="12">
                  <c:v>Data Migration</c:v>
                </c:pt>
                <c:pt idx="13">
                  <c:v>ESMS Integration with External Systems</c:v>
                </c:pt>
              </c:strCache>
            </c:strRef>
          </c:cat>
          <c:val>
            <c:numRef>
              <c:f>'QA Test Summary'!$D$4:$D$17</c:f>
              <c:numCache>
                <c:formatCode>General</c:formatCode>
                <c:ptCount val="14"/>
                <c:pt idx="0">
                  <c:v>20</c:v>
                </c:pt>
                <c:pt idx="1">
                  <c:v>0</c:v>
                </c:pt>
                <c:pt idx="2">
                  <c:v>0</c:v>
                </c:pt>
                <c:pt idx="3">
                  <c:v>0</c:v>
                </c:pt>
                <c:pt idx="4">
                  <c:v>38</c:v>
                </c:pt>
                <c:pt idx="5">
                  <c:v>56</c:v>
                </c:pt>
                <c:pt idx="6">
                  <c:v>0</c:v>
                </c:pt>
                <c:pt idx="7">
                  <c:v>0</c:v>
                </c:pt>
                <c:pt idx="8">
                  <c:v>0</c:v>
                </c:pt>
                <c:pt idx="9">
                  <c:v>3</c:v>
                </c:pt>
                <c:pt idx="10">
                  <c:v>0</c:v>
                </c:pt>
                <c:pt idx="11">
                  <c:v>0</c:v>
                </c:pt>
                <c:pt idx="12">
                  <c:v>0</c:v>
                </c:pt>
                <c:pt idx="13">
                  <c:v>0</c:v>
                </c:pt>
              </c:numCache>
            </c:numRef>
          </c:val>
          <c:extLst>
            <c:ext xmlns:c16="http://schemas.microsoft.com/office/drawing/2014/chart" uri="{C3380CC4-5D6E-409C-BE32-E72D297353CC}">
              <c16:uniqueId val="{00000002-EEFF-441D-8248-85FAEB2A8125}"/>
            </c:ext>
          </c:extLst>
        </c:ser>
        <c:ser>
          <c:idx val="2"/>
          <c:order val="2"/>
          <c:tx>
            <c:strRef>
              <c:f>'QA Test Summary'!$E$3</c:f>
              <c:strCache>
                <c:ptCount val="1"/>
                <c:pt idx="0">
                  <c:v># Reviewed</c:v>
                </c:pt>
              </c:strCache>
            </c:strRef>
          </c:tx>
          <c:spPr>
            <a:solidFill>
              <a:schemeClr val="accent3"/>
            </a:solidFill>
            <a:ln>
              <a:noFill/>
            </a:ln>
            <a:effectLst/>
          </c:spPr>
          <c:invertIfNegative val="0"/>
          <c:cat>
            <c:strRef>
              <c:f>'QA Test Summary'!$B$4:$B$17</c:f>
              <c:strCache>
                <c:ptCount val="14"/>
                <c:pt idx="0">
                  <c:v>Budget</c:v>
                </c:pt>
                <c:pt idx="1">
                  <c:v>Seat &amp; Capacity</c:v>
                </c:pt>
                <c:pt idx="2">
                  <c:v>Screening</c:v>
                </c:pt>
                <c:pt idx="3">
                  <c:v>Enrollment</c:v>
                </c:pt>
                <c:pt idx="4">
                  <c:v>Attendance</c:v>
                </c:pt>
                <c:pt idx="5">
                  <c:v>Incident</c:v>
                </c:pt>
                <c:pt idx="6">
                  <c:v>Monitoring/Coaching log</c:v>
                </c:pt>
                <c:pt idx="7">
                  <c:v>Reporting / Dashboard</c:v>
                </c:pt>
                <c:pt idx="8">
                  <c:v>Invoice</c:v>
                </c:pt>
                <c:pt idx="9">
                  <c:v>Checklist &amp; Checklist Template</c:v>
                </c:pt>
                <c:pt idx="10">
                  <c:v>Procurement</c:v>
                </c:pt>
                <c:pt idx="11">
                  <c:v>Document Management</c:v>
                </c:pt>
                <c:pt idx="12">
                  <c:v>Data Migration</c:v>
                </c:pt>
                <c:pt idx="13">
                  <c:v>ESMS Integration with External Systems</c:v>
                </c:pt>
              </c:strCache>
            </c:strRef>
          </c:cat>
          <c:val>
            <c:numRef>
              <c:f>'QA Test Summary'!$E$4:$E$17</c:f>
              <c:numCache>
                <c:formatCode>General</c:formatCode>
                <c:ptCount val="14"/>
                <c:pt idx="0">
                  <c:v>142</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4-EEFF-441D-8248-85FAEB2A8125}"/>
            </c:ext>
          </c:extLst>
        </c:ser>
        <c:ser>
          <c:idx val="3"/>
          <c:order val="3"/>
          <c:tx>
            <c:strRef>
              <c:f>'QA Test Summary'!$F$3</c:f>
              <c:strCache>
                <c:ptCount val="1"/>
                <c:pt idx="0">
                  <c:v># Passed</c:v>
                </c:pt>
              </c:strCache>
            </c:strRef>
          </c:tx>
          <c:spPr>
            <a:solidFill>
              <a:schemeClr val="accent4"/>
            </a:solidFill>
            <a:ln>
              <a:noFill/>
            </a:ln>
            <a:effectLst/>
          </c:spPr>
          <c:invertIfNegative val="0"/>
          <c:cat>
            <c:strRef>
              <c:f>'QA Test Summary'!$B$4:$B$17</c:f>
              <c:strCache>
                <c:ptCount val="14"/>
                <c:pt idx="0">
                  <c:v>Budget</c:v>
                </c:pt>
                <c:pt idx="1">
                  <c:v>Seat &amp; Capacity</c:v>
                </c:pt>
                <c:pt idx="2">
                  <c:v>Screening</c:v>
                </c:pt>
                <c:pt idx="3">
                  <c:v>Enrollment</c:v>
                </c:pt>
                <c:pt idx="4">
                  <c:v>Attendance</c:v>
                </c:pt>
                <c:pt idx="5">
                  <c:v>Incident</c:v>
                </c:pt>
                <c:pt idx="6">
                  <c:v>Monitoring/Coaching log</c:v>
                </c:pt>
                <c:pt idx="7">
                  <c:v>Reporting / Dashboard</c:v>
                </c:pt>
                <c:pt idx="8">
                  <c:v>Invoice</c:v>
                </c:pt>
                <c:pt idx="9">
                  <c:v>Checklist &amp; Checklist Template</c:v>
                </c:pt>
                <c:pt idx="10">
                  <c:v>Procurement</c:v>
                </c:pt>
                <c:pt idx="11">
                  <c:v>Document Management</c:v>
                </c:pt>
                <c:pt idx="12">
                  <c:v>Data Migration</c:v>
                </c:pt>
                <c:pt idx="13">
                  <c:v>ESMS Integration with External Systems</c:v>
                </c:pt>
              </c:strCache>
            </c:strRef>
          </c:cat>
          <c:val>
            <c:numRef>
              <c:f>'QA Test Summary'!$F$4:$F$17</c:f>
              <c:numCache>
                <c:formatCode>General</c:formatCode>
                <c:ptCount val="14"/>
                <c:pt idx="0">
                  <c:v>100</c:v>
                </c:pt>
                <c:pt idx="1">
                  <c:v>27</c:v>
                </c:pt>
                <c:pt idx="2">
                  <c:v>26</c:v>
                </c:pt>
                <c:pt idx="3">
                  <c:v>41</c:v>
                </c:pt>
                <c:pt idx="4">
                  <c:v>80</c:v>
                </c:pt>
                <c:pt idx="5">
                  <c:v>50</c:v>
                </c:pt>
                <c:pt idx="6">
                  <c:v>45</c:v>
                </c:pt>
                <c:pt idx="7">
                  <c:v>0</c:v>
                </c:pt>
                <c:pt idx="8">
                  <c:v>12</c:v>
                </c:pt>
                <c:pt idx="9">
                  <c:v>55</c:v>
                </c:pt>
                <c:pt idx="10">
                  <c:v>0</c:v>
                </c:pt>
                <c:pt idx="11">
                  <c:v>0</c:v>
                </c:pt>
                <c:pt idx="12">
                  <c:v>0</c:v>
                </c:pt>
                <c:pt idx="13">
                  <c:v>0</c:v>
                </c:pt>
              </c:numCache>
            </c:numRef>
          </c:val>
          <c:extLst>
            <c:ext xmlns:c16="http://schemas.microsoft.com/office/drawing/2014/chart" uri="{C3380CC4-5D6E-409C-BE32-E72D297353CC}">
              <c16:uniqueId val="{00000006-EEFF-441D-8248-85FAEB2A8125}"/>
            </c:ext>
          </c:extLst>
        </c:ser>
        <c:ser>
          <c:idx val="4"/>
          <c:order val="4"/>
          <c:tx>
            <c:strRef>
              <c:f>'QA Test Summary'!$G$3</c:f>
              <c:strCache>
                <c:ptCount val="1"/>
                <c:pt idx="0">
                  <c:v># Failed</c:v>
                </c:pt>
              </c:strCache>
            </c:strRef>
          </c:tx>
          <c:spPr>
            <a:solidFill>
              <a:schemeClr val="accent5"/>
            </a:solidFill>
            <a:ln>
              <a:noFill/>
            </a:ln>
            <a:effectLst/>
          </c:spPr>
          <c:invertIfNegative val="0"/>
          <c:cat>
            <c:strRef>
              <c:f>'QA Test Summary'!$B$4:$B$17</c:f>
              <c:strCache>
                <c:ptCount val="14"/>
                <c:pt idx="0">
                  <c:v>Budget</c:v>
                </c:pt>
                <c:pt idx="1">
                  <c:v>Seat &amp; Capacity</c:v>
                </c:pt>
                <c:pt idx="2">
                  <c:v>Screening</c:v>
                </c:pt>
                <c:pt idx="3">
                  <c:v>Enrollment</c:v>
                </c:pt>
                <c:pt idx="4">
                  <c:v>Attendance</c:v>
                </c:pt>
                <c:pt idx="5">
                  <c:v>Incident</c:v>
                </c:pt>
                <c:pt idx="6">
                  <c:v>Monitoring/Coaching log</c:v>
                </c:pt>
                <c:pt idx="7">
                  <c:v>Reporting / Dashboard</c:v>
                </c:pt>
                <c:pt idx="8">
                  <c:v>Invoice</c:v>
                </c:pt>
                <c:pt idx="9">
                  <c:v>Checklist &amp; Checklist Template</c:v>
                </c:pt>
                <c:pt idx="10">
                  <c:v>Procurement</c:v>
                </c:pt>
                <c:pt idx="11">
                  <c:v>Document Management</c:v>
                </c:pt>
                <c:pt idx="12">
                  <c:v>Data Migration</c:v>
                </c:pt>
                <c:pt idx="13">
                  <c:v>ESMS Integration with External Systems</c:v>
                </c:pt>
              </c:strCache>
            </c:strRef>
          </c:cat>
          <c:val>
            <c:numRef>
              <c:f>'QA Test Summary'!$G$4:$G$17</c:f>
              <c:numCache>
                <c:formatCode>General</c:formatCode>
                <c:ptCount val="14"/>
                <c:pt idx="0">
                  <c:v>0</c:v>
                </c:pt>
                <c:pt idx="1">
                  <c:v>4</c:v>
                </c:pt>
                <c:pt idx="2">
                  <c:v>1</c:v>
                </c:pt>
                <c:pt idx="3">
                  <c:v>6</c:v>
                </c:pt>
                <c:pt idx="4">
                  <c:v>4</c:v>
                </c:pt>
                <c:pt idx="5">
                  <c:v>5</c:v>
                </c:pt>
                <c:pt idx="6">
                  <c:v>2</c:v>
                </c:pt>
                <c:pt idx="7">
                  <c:v>0</c:v>
                </c:pt>
                <c:pt idx="8">
                  <c:v>0</c:v>
                </c:pt>
                <c:pt idx="9">
                  <c:v>3</c:v>
                </c:pt>
                <c:pt idx="10">
                  <c:v>0</c:v>
                </c:pt>
                <c:pt idx="11">
                  <c:v>0</c:v>
                </c:pt>
                <c:pt idx="12">
                  <c:v>0</c:v>
                </c:pt>
                <c:pt idx="13">
                  <c:v>0</c:v>
                </c:pt>
              </c:numCache>
            </c:numRef>
          </c:val>
          <c:extLst>
            <c:ext xmlns:c16="http://schemas.microsoft.com/office/drawing/2014/chart" uri="{C3380CC4-5D6E-409C-BE32-E72D297353CC}">
              <c16:uniqueId val="{00000008-EEFF-441D-8248-85FAEB2A8125}"/>
            </c:ext>
          </c:extLst>
        </c:ser>
        <c:ser>
          <c:idx val="5"/>
          <c:order val="5"/>
          <c:tx>
            <c:strRef>
              <c:f>'QA Test Summary'!$H$3</c:f>
              <c:strCache>
                <c:ptCount val="1"/>
                <c:pt idx="0">
                  <c:v># Blocked</c:v>
                </c:pt>
              </c:strCache>
            </c:strRef>
          </c:tx>
          <c:spPr>
            <a:solidFill>
              <a:schemeClr val="accent6"/>
            </a:solidFill>
            <a:ln>
              <a:noFill/>
            </a:ln>
            <a:effectLst/>
          </c:spPr>
          <c:invertIfNegative val="0"/>
          <c:cat>
            <c:strRef>
              <c:f>'QA Test Summary'!$B$4:$B$17</c:f>
              <c:strCache>
                <c:ptCount val="14"/>
                <c:pt idx="0">
                  <c:v>Budget</c:v>
                </c:pt>
                <c:pt idx="1">
                  <c:v>Seat &amp; Capacity</c:v>
                </c:pt>
                <c:pt idx="2">
                  <c:v>Screening</c:v>
                </c:pt>
                <c:pt idx="3">
                  <c:v>Enrollment</c:v>
                </c:pt>
                <c:pt idx="4">
                  <c:v>Attendance</c:v>
                </c:pt>
                <c:pt idx="5">
                  <c:v>Incident</c:v>
                </c:pt>
                <c:pt idx="6">
                  <c:v>Monitoring/Coaching log</c:v>
                </c:pt>
                <c:pt idx="7">
                  <c:v>Reporting / Dashboard</c:v>
                </c:pt>
                <c:pt idx="8">
                  <c:v>Invoice</c:v>
                </c:pt>
                <c:pt idx="9">
                  <c:v>Checklist &amp; Checklist Template</c:v>
                </c:pt>
                <c:pt idx="10">
                  <c:v>Procurement</c:v>
                </c:pt>
                <c:pt idx="11">
                  <c:v>Document Management</c:v>
                </c:pt>
                <c:pt idx="12">
                  <c:v>Data Migration</c:v>
                </c:pt>
                <c:pt idx="13">
                  <c:v>ESMS Integration with External Systems</c:v>
                </c:pt>
              </c:strCache>
            </c:strRef>
          </c:cat>
          <c:val>
            <c:numRef>
              <c:f>'QA Test Summary'!$H$4:$H$17</c:f>
              <c:numCache>
                <c:formatCode>General</c:formatCode>
                <c:ptCount val="14"/>
                <c:pt idx="0">
                  <c:v>0</c:v>
                </c:pt>
                <c:pt idx="1">
                  <c:v>0</c:v>
                </c:pt>
                <c:pt idx="2">
                  <c:v>1</c:v>
                </c:pt>
                <c:pt idx="3">
                  <c:v>0</c:v>
                </c:pt>
                <c:pt idx="4">
                  <c:v>0</c:v>
                </c:pt>
                <c:pt idx="5">
                  <c:v>0</c:v>
                </c:pt>
                <c:pt idx="6">
                  <c:v>0</c:v>
                </c:pt>
                <c:pt idx="7">
                  <c:v>0</c:v>
                </c:pt>
                <c:pt idx="8">
                  <c:v>26</c:v>
                </c:pt>
                <c:pt idx="9">
                  <c:v>26</c:v>
                </c:pt>
                <c:pt idx="10">
                  <c:v>0</c:v>
                </c:pt>
                <c:pt idx="11">
                  <c:v>0</c:v>
                </c:pt>
                <c:pt idx="12">
                  <c:v>0</c:v>
                </c:pt>
                <c:pt idx="13">
                  <c:v>0</c:v>
                </c:pt>
              </c:numCache>
            </c:numRef>
          </c:val>
          <c:extLst>
            <c:ext xmlns:c16="http://schemas.microsoft.com/office/drawing/2014/chart" uri="{C3380CC4-5D6E-409C-BE32-E72D297353CC}">
              <c16:uniqueId val="{0000000A-EEFF-441D-8248-85FAEB2A8125}"/>
            </c:ext>
          </c:extLst>
        </c:ser>
        <c:ser>
          <c:idx val="6"/>
          <c:order val="6"/>
          <c:tx>
            <c:strRef>
              <c:f>'QA Test Summary'!$I$3</c:f>
              <c:strCache>
                <c:ptCount val="1"/>
                <c:pt idx="0">
                  <c:v># No Run</c:v>
                </c:pt>
              </c:strCache>
            </c:strRef>
          </c:tx>
          <c:spPr>
            <a:solidFill>
              <a:schemeClr val="accent1">
                <a:lumMod val="60000"/>
              </a:schemeClr>
            </a:solidFill>
            <a:ln>
              <a:noFill/>
            </a:ln>
            <a:effectLst/>
          </c:spPr>
          <c:invertIfNegative val="0"/>
          <c:cat>
            <c:strRef>
              <c:f>'QA Test Summary'!$B$4:$B$17</c:f>
              <c:strCache>
                <c:ptCount val="14"/>
                <c:pt idx="0">
                  <c:v>Budget</c:v>
                </c:pt>
                <c:pt idx="1">
                  <c:v>Seat &amp; Capacity</c:v>
                </c:pt>
                <c:pt idx="2">
                  <c:v>Screening</c:v>
                </c:pt>
                <c:pt idx="3">
                  <c:v>Enrollment</c:v>
                </c:pt>
                <c:pt idx="4">
                  <c:v>Attendance</c:v>
                </c:pt>
                <c:pt idx="5">
                  <c:v>Incident</c:v>
                </c:pt>
                <c:pt idx="6">
                  <c:v>Monitoring/Coaching log</c:v>
                </c:pt>
                <c:pt idx="7">
                  <c:v>Reporting / Dashboard</c:v>
                </c:pt>
                <c:pt idx="8">
                  <c:v>Invoice</c:v>
                </c:pt>
                <c:pt idx="9">
                  <c:v>Checklist &amp; Checklist Template</c:v>
                </c:pt>
                <c:pt idx="10">
                  <c:v>Procurement</c:v>
                </c:pt>
                <c:pt idx="11">
                  <c:v>Document Management</c:v>
                </c:pt>
                <c:pt idx="12">
                  <c:v>Data Migration</c:v>
                </c:pt>
                <c:pt idx="13">
                  <c:v>ESMS Integration with External Systems</c:v>
                </c:pt>
              </c:strCache>
            </c:strRef>
          </c:cat>
          <c:val>
            <c:numRef>
              <c:f>'QA Test Summary'!$I$4:$I$17</c:f>
              <c:numCache>
                <c:formatCode>General</c:formatCode>
                <c:ptCount val="14"/>
                <c:pt idx="0">
                  <c:v>0</c:v>
                </c:pt>
                <c:pt idx="1">
                  <c:v>0</c:v>
                </c:pt>
                <c:pt idx="2">
                  <c:v>0</c:v>
                </c:pt>
                <c:pt idx="3">
                  <c:v>2</c:v>
                </c:pt>
                <c:pt idx="4">
                  <c:v>0</c:v>
                </c:pt>
                <c:pt idx="5">
                  <c:v>0</c:v>
                </c:pt>
                <c:pt idx="6">
                  <c:v>0</c:v>
                </c:pt>
                <c:pt idx="7">
                  <c:v>0</c:v>
                </c:pt>
                <c:pt idx="8">
                  <c:v>0</c:v>
                </c:pt>
                <c:pt idx="9">
                  <c:v>0</c:v>
                </c:pt>
                <c:pt idx="10">
                  <c:v>0</c:v>
                </c:pt>
                <c:pt idx="11">
                  <c:v>0</c:v>
                </c:pt>
                <c:pt idx="12">
                  <c:v>0</c:v>
                </c:pt>
                <c:pt idx="13">
                  <c:v>0</c:v>
                </c:pt>
              </c:numCache>
            </c:numRef>
          </c:val>
          <c:extLst>
            <c:ext xmlns:c16="http://schemas.microsoft.com/office/drawing/2014/chart" uri="{C3380CC4-5D6E-409C-BE32-E72D297353CC}">
              <c16:uniqueId val="{0000000C-EEFF-441D-8248-85FAEB2A8125}"/>
            </c:ext>
          </c:extLst>
        </c:ser>
        <c:dLbls>
          <c:showLegendKey val="0"/>
          <c:showVal val="0"/>
          <c:showCatName val="0"/>
          <c:showSerName val="0"/>
          <c:showPercent val="0"/>
          <c:showBubbleSize val="0"/>
        </c:dLbls>
        <c:gapWidth val="168"/>
        <c:overlap val="-27"/>
        <c:axId val="1432142343"/>
        <c:axId val="1432146951"/>
      </c:barChart>
      <c:catAx>
        <c:axId val="1432142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146951"/>
        <c:crosses val="autoZero"/>
        <c:auto val="1"/>
        <c:lblAlgn val="ctr"/>
        <c:lblOffset val="100"/>
        <c:noMultiLvlLbl val="0"/>
      </c:catAx>
      <c:valAx>
        <c:axId val="1432146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1423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
          <c:y val="0"/>
          <c:w val="1"/>
          <c:h val="1"/>
        </c:manualLayout>
      </c:layout>
      <c:barChart>
        <c:barDir val="bar"/>
        <c:grouping val="clustered"/>
        <c:varyColors val="0"/>
        <c:ser>
          <c:idx val="1"/>
          <c:order val="1"/>
          <c:spPr>
            <a:solidFill>
              <a:schemeClr val="accent1">
                <a:tint val="77000"/>
              </a:schemeClr>
            </a:solidFill>
            <a:ln>
              <a:noFill/>
            </a:ln>
            <a:effectLst/>
          </c:spPr>
          <c:invertIfNegative val="0"/>
          <c:dPt>
            <c:idx val="0"/>
            <c:invertIfNegative val="0"/>
            <c:bubble3D val="0"/>
            <c:extLst>
              <c:ext xmlns:c16="http://schemas.microsoft.com/office/drawing/2014/chart" uri="{C3380CC4-5D6E-409C-BE32-E72D297353CC}">
                <c16:uniqueId val="{00000000-82ED-4A02-A538-1D37CBEAAC8E}"/>
              </c:ext>
            </c:extLst>
          </c:dPt>
          <c:cat>
            <c:strLit>
              <c:ptCount val="1"/>
              <c:pt idx="0">
                <c:v>Total</c:v>
              </c:pt>
            </c:strLit>
          </c:cat>
          <c:val>
            <c:numLit>
              <c:formatCode>General</c:formatCode>
              <c:ptCount val="1"/>
              <c:pt idx="0">
                <c:v>1</c:v>
              </c:pt>
            </c:numLit>
          </c:val>
          <c:extLst>
            <c:ext xmlns:c16="http://schemas.microsoft.com/office/drawing/2014/chart" uri="{C3380CC4-5D6E-409C-BE32-E72D297353CC}">
              <c16:uniqueId val="{00000001-82ED-4A02-A538-1D37CBEAAC8E}"/>
            </c:ext>
          </c:extLst>
        </c:ser>
        <c:dLbls>
          <c:showLegendKey val="0"/>
          <c:showVal val="0"/>
          <c:showCatName val="0"/>
          <c:showSerName val="0"/>
          <c:showPercent val="0"/>
          <c:showBubbleSize val="0"/>
        </c:dLbls>
        <c:gapWidth val="269"/>
        <c:overlap val="100"/>
        <c:axId val="465368712"/>
        <c:axId val="465375376"/>
      </c:barChart>
      <c:barChart>
        <c:barDir val="bar"/>
        <c:grouping val="clustered"/>
        <c:varyColors val="0"/>
        <c:ser>
          <c:idx val="0"/>
          <c:order val="0"/>
          <c:spPr>
            <a:solidFill>
              <a:schemeClr val="accent1">
                <a:shade val="76000"/>
              </a:schemeClr>
            </a:solidFill>
            <a:ln>
              <a:noFill/>
            </a:ln>
            <a:effectLst/>
          </c:spPr>
          <c:invertIfNegative val="0"/>
          <c:cat>
            <c:strLit>
              <c:ptCount val="1"/>
              <c:pt idx="0">
                <c:v>Total</c:v>
              </c:pt>
            </c:strLit>
          </c:cat>
          <c:val>
            <c:numRef>
              <c:f>[1]Coaching!$I$12</c:f>
              <c:numCache>
                <c:formatCode>0.0%</c:formatCode>
                <c:ptCount val="1"/>
                <c:pt idx="0">
                  <c:v>0</c:v>
                </c:pt>
              </c:numCache>
            </c:numRef>
          </c:val>
          <c:extLst>
            <c:ext xmlns:c16="http://schemas.microsoft.com/office/drawing/2014/chart" uri="{C3380CC4-5D6E-409C-BE32-E72D297353CC}">
              <c16:uniqueId val="{00000002-82ED-4A02-A538-1D37CBEAAC8E}"/>
            </c:ext>
          </c:extLst>
        </c:ser>
        <c:dLbls>
          <c:showLegendKey val="0"/>
          <c:showVal val="0"/>
          <c:showCatName val="0"/>
          <c:showSerName val="0"/>
          <c:showPercent val="0"/>
          <c:showBubbleSize val="0"/>
        </c:dLbls>
        <c:gapWidth val="269"/>
        <c:overlap val="100"/>
        <c:axId val="465369496"/>
        <c:axId val="465368320"/>
      </c:barChart>
      <c:catAx>
        <c:axId val="465368712"/>
        <c:scaling>
          <c:orientation val="minMax"/>
        </c:scaling>
        <c:delete val="1"/>
        <c:axPos val="l"/>
        <c:numFmt formatCode="General" sourceLinked="1"/>
        <c:majorTickMark val="out"/>
        <c:minorTickMark val="none"/>
        <c:tickLblPos val="nextTo"/>
        <c:crossAx val="465375376"/>
        <c:crosses val="autoZero"/>
        <c:auto val="1"/>
        <c:lblAlgn val="ctr"/>
        <c:lblOffset val="100"/>
        <c:noMultiLvlLbl val="0"/>
      </c:catAx>
      <c:valAx>
        <c:axId val="465375376"/>
        <c:scaling>
          <c:orientation val="minMax"/>
          <c:max val="1"/>
        </c:scaling>
        <c:delete val="1"/>
        <c:axPos val="b"/>
        <c:numFmt formatCode="General" sourceLinked="1"/>
        <c:majorTickMark val="none"/>
        <c:minorTickMark val="none"/>
        <c:tickLblPos val="nextTo"/>
        <c:crossAx val="465368712"/>
        <c:crosses val="autoZero"/>
        <c:crossBetween val="between"/>
      </c:valAx>
      <c:valAx>
        <c:axId val="465368320"/>
        <c:scaling>
          <c:orientation val="minMax"/>
        </c:scaling>
        <c:delete val="1"/>
        <c:axPos val="t"/>
        <c:numFmt formatCode="0.0%" sourceLinked="1"/>
        <c:majorTickMark val="none"/>
        <c:minorTickMark val="none"/>
        <c:tickLblPos val="nextTo"/>
        <c:crossAx val="465369496"/>
        <c:crosses val="max"/>
        <c:crossBetween val="between"/>
      </c:valAx>
      <c:catAx>
        <c:axId val="465369496"/>
        <c:scaling>
          <c:orientation val="minMax"/>
        </c:scaling>
        <c:delete val="1"/>
        <c:axPos val="r"/>
        <c:numFmt formatCode="General" sourceLinked="1"/>
        <c:majorTickMark val="out"/>
        <c:minorTickMark val="none"/>
        <c:tickLblPos val="nextTo"/>
        <c:crossAx val="465368320"/>
        <c:crosses val="max"/>
        <c:auto val="1"/>
        <c:lblAlgn val="ctr"/>
        <c:lblOffset val="100"/>
        <c:noMultiLvlLbl val="0"/>
      </c:catAx>
      <c:spPr>
        <a:noFill/>
        <a:ln>
          <a:noFill/>
        </a:ln>
        <a:effectLst/>
      </c:spPr>
    </c:plotArea>
    <c:plotVisOnly val="0"/>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238125</xdr:colOff>
      <xdr:row>2</xdr:row>
      <xdr:rowOff>0</xdr:rowOff>
    </xdr:from>
    <xdr:to>
      <xdr:col>26</xdr:col>
      <xdr:colOff>438150</xdr:colOff>
      <xdr:row>17</xdr:row>
      <xdr:rowOff>152400</xdr:rowOff>
    </xdr:to>
    <xdr:graphicFrame macro="">
      <xdr:nvGraphicFramePr>
        <xdr:cNvPr id="4" name="Chart 3">
          <a:extLst>
            <a:ext uri="{FF2B5EF4-FFF2-40B4-BE49-F238E27FC236}">
              <a16:creationId xmlns:a16="http://schemas.microsoft.com/office/drawing/2014/main" id="{AA57D55A-AB2C-4D09-AAF8-ACC64D475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723033</xdr:colOff>
      <xdr:row>1</xdr:row>
      <xdr:rowOff>4331</xdr:rowOff>
    </xdr:from>
    <xdr:to>
      <xdr:col>7</xdr:col>
      <xdr:colOff>0</xdr:colOff>
      <xdr:row>1</xdr:row>
      <xdr:rowOff>212149</xdr:rowOff>
    </xdr:to>
    <xdr:sp macro="" textlink="">
      <xdr:nvSpPr>
        <xdr:cNvPr id="2" name="TextBox 1">
          <a:extLst>
            <a:ext uri="{FF2B5EF4-FFF2-40B4-BE49-F238E27FC236}">
              <a16:creationId xmlns:a16="http://schemas.microsoft.com/office/drawing/2014/main" id="{0F1ADC65-84E7-42C0-A8E7-BAB97933C9D7}"/>
            </a:ext>
          </a:extLst>
        </xdr:cNvPr>
        <xdr:cNvSpPr txBox="1"/>
      </xdr:nvSpPr>
      <xdr:spPr>
        <a:xfrm>
          <a:off x="7609608" y="347231"/>
          <a:ext cx="820017" cy="207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fld id="{38E5F9B6-F467-45D6-BB80-245A13DA7B19}" type="TxLink">
            <a:rPr lang="en-US" sz="800" b="1" i="0" u="none" strike="noStrike">
              <a:solidFill>
                <a:srgbClr val="000000"/>
              </a:solidFill>
              <a:latin typeface="Verdana"/>
              <a:ea typeface="Verdana"/>
              <a:cs typeface="Verdana"/>
            </a:rPr>
            <a:pPr algn="ctr"/>
            <a:t>0.0%</a:t>
          </a:fld>
          <a:endParaRPr lang="en-GB" sz="800" b="1" i="0">
            <a:solidFill>
              <a:schemeClr val="bg2">
                <a:lumMod val="25000"/>
              </a:schemeClr>
            </a:solidFill>
          </a:endParaRPr>
        </a:p>
      </xdr:txBody>
    </xdr:sp>
    <xdr:clientData/>
  </xdr:twoCellAnchor>
  <xdr:twoCellAnchor>
    <xdr:from>
      <xdr:col>1</xdr:col>
      <xdr:colOff>375728</xdr:colOff>
      <xdr:row>1</xdr:row>
      <xdr:rowOff>23812</xdr:rowOff>
    </xdr:from>
    <xdr:to>
      <xdr:col>6</xdr:col>
      <xdr:colOff>519534</xdr:colOff>
      <xdr:row>1</xdr:row>
      <xdr:rowOff>244077</xdr:rowOff>
    </xdr:to>
    <xdr:graphicFrame macro="">
      <xdr:nvGraphicFramePr>
        <xdr:cNvPr id="3" name="Chart 2">
          <a:extLst>
            <a:ext uri="{FF2B5EF4-FFF2-40B4-BE49-F238E27FC236}">
              <a16:creationId xmlns:a16="http://schemas.microsoft.com/office/drawing/2014/main" id="{88E6210E-8FEE-45CC-8A66-6DD734E32DC4}"/>
            </a:ext>
            <a:ext uri="{147F2762-F138-4A5C-976F-8EAC2B608ADB}">
              <a16:predDERef xmlns:a16="http://schemas.microsoft.com/office/drawing/2014/main" pred="{0F1ADC65-84E7-42C0-A8E7-BAB97933C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Knowledge%20Transfer%20Book.xlsx" TargetMode="External"/><Relationship Id="rId2" Type="http://schemas.openxmlformats.org/officeDocument/2006/relationships/externalLinkPath" Target="https://prutechsolutionsinc.sharepoint.com/sites/DOE-ECMS/Shared%20Documents/DOE%20-%20ECMS%202/Quality%20Assurance%20&amp;%20UAT/Knowledge%20Transfer%20Book.xlsx" TargetMode="External"/><Relationship Id="rId1" Type="http://schemas.openxmlformats.org/officeDocument/2006/relationships/externalLinkPath" Target="/sites/DOE-ECMS/Shared%20Documents/DOE%20-%20ECMS%202/Quality%20Assurance%20&amp;%20UAT/Knowledge%20Transfer%20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mNlWI4atOkqLQj9K-o2ViT0vmmywG2JKn2_HP-yUpCRfDrVPwKLoS6lZRj6vgl_0" itemId="01LDR5VJKPM6SHTELXGVDL4JH33SWETRLB">
      <xxl21:absoluteUrl r:id="rId2"/>
      <xxl21:relativeUrl r:id="rId3"/>
    </xxl21:alternateUrls>
    <sheetNames>
      <sheetName val="FCN"/>
      <sheetName val="Invoice Creation"/>
      <sheetName val="Coaching"/>
      <sheetName val="Budget Module"/>
      <sheetName val="Enrollment Module"/>
      <sheetName val="Studdent Screening"/>
      <sheetName val="Attendance"/>
      <sheetName val="Incident"/>
      <sheetName val="Blue theme"/>
      <sheetName val="Blue theme (hidden coolumns)"/>
    </sheetNames>
    <sheetDataSet>
      <sheetData sheetId="0"/>
      <sheetData sheetId="1"/>
      <sheetData sheetId="2">
        <row r="12">
          <cell r="I12">
            <v>0</v>
          </cell>
        </row>
      </sheetData>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prutech.atlassian.net/browse/DOEECMS-1906" TargetMode="External"/><Relationship Id="rId7" Type="http://schemas.openxmlformats.org/officeDocument/2006/relationships/hyperlink" Target="https://prutech.atlassian.net/browse/DOEECMS-2049" TargetMode="External"/><Relationship Id="rId2" Type="http://schemas.openxmlformats.org/officeDocument/2006/relationships/hyperlink" Target="https://prutech.atlassian.net/browse/DOEECMS-1905" TargetMode="External"/><Relationship Id="rId1" Type="http://schemas.openxmlformats.org/officeDocument/2006/relationships/hyperlink" Target="https://prutech.atlassian.net/browse/DOEECMS-1910" TargetMode="External"/><Relationship Id="rId6" Type="http://schemas.openxmlformats.org/officeDocument/2006/relationships/hyperlink" Target="https://prutech.atlassian.net/browse/DOEECMS-2036" TargetMode="External"/><Relationship Id="rId5" Type="http://schemas.openxmlformats.org/officeDocument/2006/relationships/hyperlink" Target="https://prutech.atlassian.net/browse/DOEECMS-2056" TargetMode="External"/><Relationship Id="rId4" Type="http://schemas.openxmlformats.org/officeDocument/2006/relationships/hyperlink" Target="https://prutech.atlassian.net/browse/DOEECMS-2037"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prutech.atlassian.net/browse/DOEECMS-1780" TargetMode="External"/><Relationship Id="rId13" Type="http://schemas.openxmlformats.org/officeDocument/2006/relationships/hyperlink" Target="https://prutech.atlassian.net/browse/DOEECMS-1913" TargetMode="External"/><Relationship Id="rId18" Type="http://schemas.openxmlformats.org/officeDocument/2006/relationships/hyperlink" Target="https://prutech.atlassian.net/browse/DOEECMS-1997" TargetMode="External"/><Relationship Id="rId3" Type="http://schemas.openxmlformats.org/officeDocument/2006/relationships/hyperlink" Target="https://prutech.atlassian.net/browse/DOEECMS-1885" TargetMode="External"/><Relationship Id="rId21" Type="http://schemas.openxmlformats.org/officeDocument/2006/relationships/hyperlink" Target="https://prutech.atlassian.net/browse/DOEECMS-2008" TargetMode="External"/><Relationship Id="rId7" Type="http://schemas.openxmlformats.org/officeDocument/2006/relationships/hyperlink" Target="https://prutech.atlassian.net/browse/DOEECMS-1983" TargetMode="External"/><Relationship Id="rId12" Type="http://schemas.openxmlformats.org/officeDocument/2006/relationships/hyperlink" Target="https://prutech.atlassian.net/browse/DOEECMS-1850" TargetMode="External"/><Relationship Id="rId17" Type="http://schemas.openxmlformats.org/officeDocument/2006/relationships/hyperlink" Target="https://prutech.atlassian.net/browse/DOEECMS-1995" TargetMode="External"/><Relationship Id="rId2" Type="http://schemas.openxmlformats.org/officeDocument/2006/relationships/hyperlink" Target="https://prutech.atlassian.net/browse/DOEECMS-1885" TargetMode="External"/><Relationship Id="rId16" Type="http://schemas.openxmlformats.org/officeDocument/2006/relationships/hyperlink" Target="https://prutech.atlassian.net/browse/DOEECMS-1994" TargetMode="External"/><Relationship Id="rId20" Type="http://schemas.openxmlformats.org/officeDocument/2006/relationships/hyperlink" Target="https://prutech.atlassian.net/browse/DOEECMS-2007" TargetMode="External"/><Relationship Id="rId1" Type="http://schemas.openxmlformats.org/officeDocument/2006/relationships/hyperlink" Target="https://prutech.atlassian.net/browse/DOEECMS-1885" TargetMode="External"/><Relationship Id="rId6" Type="http://schemas.openxmlformats.org/officeDocument/2006/relationships/hyperlink" Target="https://prutech.atlassian.net/browse/DOEECMS-1988" TargetMode="External"/><Relationship Id="rId11" Type="http://schemas.openxmlformats.org/officeDocument/2006/relationships/hyperlink" Target="https://prutech.atlassian.net/browse/DOEECMS-1849" TargetMode="External"/><Relationship Id="rId24" Type="http://schemas.openxmlformats.org/officeDocument/2006/relationships/hyperlink" Target="https://prutech.atlassian.net/browse/DOEECMS-2023" TargetMode="External"/><Relationship Id="rId5" Type="http://schemas.openxmlformats.org/officeDocument/2006/relationships/hyperlink" Target="https://prutech.atlassian.net/browse/DOEECMS-1982" TargetMode="External"/><Relationship Id="rId15" Type="http://schemas.openxmlformats.org/officeDocument/2006/relationships/hyperlink" Target="https://prutech.atlassian.net/browse/DOEECMS-1982" TargetMode="External"/><Relationship Id="rId23" Type="http://schemas.openxmlformats.org/officeDocument/2006/relationships/hyperlink" Target="https://prutech.atlassian.net/browse/DOEECMS-2018" TargetMode="External"/><Relationship Id="rId10" Type="http://schemas.openxmlformats.org/officeDocument/2006/relationships/hyperlink" Target="https://prutech.atlassian.net/browse/DOEECMS-1847" TargetMode="External"/><Relationship Id="rId19" Type="http://schemas.openxmlformats.org/officeDocument/2006/relationships/hyperlink" Target="https://prutech.atlassian.net/browse/DOEECMS-1998" TargetMode="External"/><Relationship Id="rId4" Type="http://schemas.openxmlformats.org/officeDocument/2006/relationships/hyperlink" Target="https://prutech.atlassian.net/browse/DOEECMS-1885" TargetMode="External"/><Relationship Id="rId9" Type="http://schemas.openxmlformats.org/officeDocument/2006/relationships/hyperlink" Target="https://prutech.atlassian.net/browse/DOEECMS-1834" TargetMode="External"/><Relationship Id="rId14" Type="http://schemas.openxmlformats.org/officeDocument/2006/relationships/hyperlink" Target="https://prutech.atlassian.net/browse/DOEECMS-1966" TargetMode="External"/><Relationship Id="rId22" Type="http://schemas.openxmlformats.org/officeDocument/2006/relationships/hyperlink" Target="https://prutech.atlassian.net/browse/DOEECMS-2017"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prutech.atlassian.net/browse/DOEECMS-2075" TargetMode="External"/><Relationship Id="rId3" Type="http://schemas.openxmlformats.org/officeDocument/2006/relationships/hyperlink" Target="https://prutech.atlassian.net/browse/DOEECMS-1802" TargetMode="External"/><Relationship Id="rId7" Type="http://schemas.openxmlformats.org/officeDocument/2006/relationships/hyperlink" Target="https://prutech.atlassian.net/issues?filter=11495&amp;selectedIssue=DOEECMS-1930" TargetMode="External"/><Relationship Id="rId2" Type="http://schemas.openxmlformats.org/officeDocument/2006/relationships/hyperlink" Target="https://prutech.atlassian.net/browse/DOEECMS-1804" TargetMode="External"/><Relationship Id="rId1" Type="http://schemas.openxmlformats.org/officeDocument/2006/relationships/hyperlink" Target="https://prutech.atlassian.net/issues?filter=11395&amp;selectedIssue=DOEECMS-1867" TargetMode="External"/><Relationship Id="rId6" Type="http://schemas.openxmlformats.org/officeDocument/2006/relationships/hyperlink" Target="https://prutech.atlassian.net/issues?filter=-2&amp;selectedIssue=DOEECMS-1924" TargetMode="External"/><Relationship Id="rId5" Type="http://schemas.openxmlformats.org/officeDocument/2006/relationships/hyperlink" Target="https://prutech.atlassian.net/issues?filter=-1&amp;selectedIssue=DOEECMS-1724" TargetMode="External"/><Relationship Id="rId4" Type="http://schemas.openxmlformats.org/officeDocument/2006/relationships/hyperlink" Target="https://prutech.atlassian.net/browse/DOEECMS-1880" TargetMode="External"/><Relationship Id="rId9" Type="http://schemas.openxmlformats.org/officeDocument/2006/relationships/hyperlink" Target="https://prutech.atlassian.net/browse/DOEECMS-2075"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rutech.atlassian.net/browse/DOEECMS-2060" TargetMode="External"/><Relationship Id="rId2" Type="http://schemas.openxmlformats.org/officeDocument/2006/relationships/hyperlink" Target="https://prutech.atlassian.net/browse/DOEECMS-2061" TargetMode="External"/><Relationship Id="rId1" Type="http://schemas.openxmlformats.org/officeDocument/2006/relationships/hyperlink" Target="https://prutech.atlassian.net/browse/DOEECMS-2066" TargetMode="External"/><Relationship Id="rId4" Type="http://schemas.openxmlformats.org/officeDocument/2006/relationships/hyperlink" Target="https://prutech.atlassian.net/browse/DOEECMS-2059"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prutech.atlassian.net/browse/DOEECMS-1921" TargetMode="External"/><Relationship Id="rId2" Type="http://schemas.openxmlformats.org/officeDocument/2006/relationships/hyperlink" Target="https://prutech.atlassian.net/browse/DOEECMS-1922" TargetMode="External"/><Relationship Id="rId1" Type="http://schemas.openxmlformats.org/officeDocument/2006/relationships/hyperlink" Target="https://prutech.atlassian.net/browse/DOEECMS-1921" TargetMode="External"/><Relationship Id="rId4" Type="http://schemas.openxmlformats.org/officeDocument/2006/relationships/hyperlink" Target="https://prutech.atlassian.net/browse/DOEECMS-1922"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3" Type="http://schemas.openxmlformats.org/officeDocument/2006/relationships/hyperlink" Target="https://prutech.atlassian.net/browse/DOEECMS-1886" TargetMode="External"/><Relationship Id="rId2" Type="http://schemas.openxmlformats.org/officeDocument/2006/relationships/hyperlink" Target="https://prutech.atlassian.net/browse/DOEECMS-1586" TargetMode="External"/><Relationship Id="rId1" Type="http://schemas.openxmlformats.org/officeDocument/2006/relationships/hyperlink" Target="https://prutech.atlassian.net/browse/DOEECMS-1892" TargetMode="External"/><Relationship Id="rId6" Type="http://schemas.openxmlformats.org/officeDocument/2006/relationships/hyperlink" Target="https://prutech.atlassian.net/browse/DOEECMS-2030" TargetMode="External"/><Relationship Id="rId5" Type="http://schemas.openxmlformats.org/officeDocument/2006/relationships/hyperlink" Target="https://prutech.atlassian.net/browse/DOEECMS-1890" TargetMode="External"/><Relationship Id="rId4" Type="http://schemas.openxmlformats.org/officeDocument/2006/relationships/hyperlink" Target="https://prutech.atlassian.net/browse/DOEECMS-1891"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prutech.atlassian.net/browse/DOEECMS-2031" TargetMode="External"/><Relationship Id="rId3" Type="http://schemas.openxmlformats.org/officeDocument/2006/relationships/hyperlink" Target="https://prutech.atlassian.net/browse/DOEECMS-1841" TargetMode="External"/><Relationship Id="rId7" Type="http://schemas.openxmlformats.org/officeDocument/2006/relationships/hyperlink" Target="https://prutech.atlassian.net/browse/DOEECMS-2035" TargetMode="External"/><Relationship Id="rId12" Type="http://schemas.openxmlformats.org/officeDocument/2006/relationships/hyperlink" Target="https://prutech.atlassian.net/browse/DOEECMS-1954" TargetMode="External"/><Relationship Id="rId2" Type="http://schemas.openxmlformats.org/officeDocument/2006/relationships/hyperlink" Target="https://prutech.atlassian.net/browse/DOEECMS-1884" TargetMode="External"/><Relationship Id="rId1" Type="http://schemas.openxmlformats.org/officeDocument/2006/relationships/hyperlink" Target="https://prutech.atlassian.net/browse/DOEECMS-1884" TargetMode="External"/><Relationship Id="rId6" Type="http://schemas.openxmlformats.org/officeDocument/2006/relationships/hyperlink" Target="https://prutech.atlassian.net/browse/DOEECMS-2041" TargetMode="External"/><Relationship Id="rId11" Type="http://schemas.openxmlformats.org/officeDocument/2006/relationships/hyperlink" Target="https://prutech.atlassian.net/browse/DOEECMS-1989" TargetMode="External"/><Relationship Id="rId5" Type="http://schemas.openxmlformats.org/officeDocument/2006/relationships/hyperlink" Target="https://prutech.atlassian.net/browse/DOEECMS-2042" TargetMode="External"/><Relationship Id="rId10" Type="http://schemas.openxmlformats.org/officeDocument/2006/relationships/hyperlink" Target="https://prutech.atlassian.net/browse/DOEECMS-2022" TargetMode="External"/><Relationship Id="rId4" Type="http://schemas.openxmlformats.org/officeDocument/2006/relationships/hyperlink" Target="https://prutech.atlassian.net/browse/DOEECMS-1772" TargetMode="External"/><Relationship Id="rId9" Type="http://schemas.openxmlformats.org/officeDocument/2006/relationships/hyperlink" Target="https://prutech.atlassian.net/browse/DOEECMS-2031"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prutech.atlassian.net/issues?filter=-8&amp;selectedIssue=DOEECMS-1912" TargetMode="External"/><Relationship Id="rId3" Type="http://schemas.openxmlformats.org/officeDocument/2006/relationships/hyperlink" Target="https://prutech.atlassian.net/browse/DOEECMS-1853" TargetMode="External"/><Relationship Id="rId7" Type="http://schemas.openxmlformats.org/officeDocument/2006/relationships/hyperlink" Target="https://prutech.atlassian.net/browse/DOEECMS-1379" TargetMode="External"/><Relationship Id="rId2" Type="http://schemas.openxmlformats.org/officeDocument/2006/relationships/hyperlink" Target="https://prutech.atlassian.net/browse/DOEECMS-1861" TargetMode="External"/><Relationship Id="rId1" Type="http://schemas.openxmlformats.org/officeDocument/2006/relationships/hyperlink" Target="https://prutech.atlassian.net/browse/DOEECMS-1379" TargetMode="External"/><Relationship Id="rId6" Type="http://schemas.openxmlformats.org/officeDocument/2006/relationships/hyperlink" Target="https://prutech.atlassian.net/browse/DOEECMS-1380" TargetMode="External"/><Relationship Id="rId5" Type="http://schemas.openxmlformats.org/officeDocument/2006/relationships/hyperlink" Target="https://prutech.atlassian.net/browse/DOEECMS-1861" TargetMode="External"/><Relationship Id="rId4" Type="http://schemas.openxmlformats.org/officeDocument/2006/relationships/hyperlink" Target="https://prutech.atlassian.net/issues?filter=11428&amp;selectedIssue=DOEECMS-1856"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prutech.atlassian.net/browse/DOEECMS-1922" TargetMode="External"/><Relationship Id="rId1" Type="http://schemas.openxmlformats.org/officeDocument/2006/relationships/hyperlink" Target="https://prutech.atlassian.net/browse/DOEECMS-1921"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9"/>
  <sheetViews>
    <sheetView topLeftCell="A5" workbookViewId="0">
      <selection activeCell="B5" sqref="B5"/>
    </sheetView>
  </sheetViews>
  <sheetFormatPr defaultRowHeight="15"/>
  <cols>
    <col min="2" max="2" width="29.42578125" customWidth="1"/>
    <col min="3" max="3" width="69.42578125" customWidth="1"/>
  </cols>
  <sheetData>
    <row r="2" spans="2:3">
      <c r="B2" s="72" t="s">
        <v>0</v>
      </c>
      <c r="C2" s="72" t="s">
        <v>1</v>
      </c>
    </row>
    <row r="3" spans="2:3" ht="60.75" customHeight="1">
      <c r="B3" s="43" t="s">
        <v>2</v>
      </c>
      <c r="C3" s="16" t="s">
        <v>3</v>
      </c>
    </row>
    <row r="4" spans="2:3" ht="60.75" customHeight="1">
      <c r="B4" s="43" t="s">
        <v>4</v>
      </c>
      <c r="C4" s="16" t="s">
        <v>5</v>
      </c>
    </row>
    <row r="5" spans="2:3" ht="82.5" customHeight="1">
      <c r="B5" s="43" t="s">
        <v>6</v>
      </c>
      <c r="C5" s="16" t="s">
        <v>7</v>
      </c>
    </row>
    <row r="6" spans="2:3" ht="60.75" customHeight="1">
      <c r="B6" s="43" t="s">
        <v>8</v>
      </c>
      <c r="C6" s="16" t="s">
        <v>9</v>
      </c>
    </row>
    <row r="7" spans="2:3" ht="60.75" customHeight="1">
      <c r="B7" s="43" t="s">
        <v>10</v>
      </c>
      <c r="C7" s="16" t="s">
        <v>11</v>
      </c>
    </row>
    <row r="8" spans="2:3" ht="106.5" customHeight="1">
      <c r="B8" s="43" t="s">
        <v>12</v>
      </c>
      <c r="C8" s="16" t="s">
        <v>13</v>
      </c>
    </row>
    <row r="9" spans="2:3" ht="76.5" customHeight="1">
      <c r="B9" s="43" t="s">
        <v>14</v>
      </c>
      <c r="C9" s="16"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2"/>
  <sheetViews>
    <sheetView tabSelected="1" workbookViewId="0">
      <pane ySplit="3" topLeftCell="A4" activePane="bottomLeft" state="frozen"/>
      <selection pane="bottomLeft" activeCell="B5" sqref="B5:B9"/>
    </sheetView>
  </sheetViews>
  <sheetFormatPr defaultRowHeight="15"/>
  <cols>
    <col min="1" max="1" width="11.28515625" style="43" customWidth="1"/>
    <col min="2" max="2" width="46.140625" style="43" customWidth="1"/>
    <col min="3" max="3" width="23.85546875" style="43" hidden="1" customWidth="1"/>
    <col min="4" max="4" width="38.85546875" style="43" customWidth="1"/>
    <col min="5" max="5" width="32.140625" style="43" customWidth="1"/>
    <col min="6" max="6" width="27.7109375" style="43" customWidth="1"/>
    <col min="7" max="8" width="9.140625" style="43" customWidth="1"/>
    <col min="9" max="9" width="15.140625" style="43" customWidth="1"/>
    <col min="10" max="10" width="48.5703125" style="43" customWidth="1"/>
    <col min="11" max="11" width="9.140625" style="43" customWidth="1"/>
    <col min="12" max="16384" width="9.140625" style="43"/>
  </cols>
  <sheetData>
    <row r="1" spans="1:10">
      <c r="A1" s="59" t="s">
        <v>16</v>
      </c>
      <c r="B1" s="59" t="s">
        <v>17</v>
      </c>
    </row>
    <row r="2" spans="1:10">
      <c r="A2" s="1">
        <f>COUNT(A4:A61)</f>
        <v>58</v>
      </c>
    </row>
    <row r="3" spans="1:10">
      <c r="A3" s="60" t="s">
        <v>18</v>
      </c>
      <c r="B3" s="60" t="s">
        <v>19</v>
      </c>
      <c r="C3" s="60" t="s">
        <v>20</v>
      </c>
      <c r="D3" s="60" t="s">
        <v>21</v>
      </c>
      <c r="E3" s="60" t="s">
        <v>22</v>
      </c>
      <c r="F3" s="60" t="s">
        <v>23</v>
      </c>
      <c r="G3" s="60" t="s">
        <v>24</v>
      </c>
      <c r="H3" s="60" t="s">
        <v>25</v>
      </c>
      <c r="I3" s="60" t="s">
        <v>0</v>
      </c>
      <c r="J3" s="59" t="s">
        <v>26</v>
      </c>
    </row>
    <row r="4" spans="1:10" ht="53.25" customHeight="1">
      <c r="A4" s="43">
        <v>1</v>
      </c>
      <c r="B4" s="78" t="s">
        <v>27</v>
      </c>
      <c r="C4" s="16" t="s">
        <v>28</v>
      </c>
      <c r="E4" s="43" t="s">
        <v>29</v>
      </c>
      <c r="F4" s="43" t="s">
        <v>30</v>
      </c>
      <c r="G4" s="43" t="s">
        <v>31</v>
      </c>
      <c r="H4" s="43" t="s">
        <v>32</v>
      </c>
      <c r="I4" s="1" t="s">
        <v>8</v>
      </c>
    </row>
    <row r="5" spans="1:10" ht="91.5" customHeight="1">
      <c r="A5" s="43">
        <v>2</v>
      </c>
      <c r="B5" s="140" t="s">
        <v>33</v>
      </c>
      <c r="C5" s="16" t="s">
        <v>28</v>
      </c>
      <c r="D5" s="16" t="s">
        <v>34</v>
      </c>
      <c r="E5" s="16" t="s">
        <v>35</v>
      </c>
      <c r="F5" s="43" t="s">
        <v>30</v>
      </c>
      <c r="G5" s="16" t="s">
        <v>36</v>
      </c>
      <c r="H5" s="43" t="s">
        <v>32</v>
      </c>
      <c r="I5" s="1" t="s">
        <v>8</v>
      </c>
      <c r="J5" s="61" t="s">
        <v>37</v>
      </c>
    </row>
    <row r="6" spans="1:10" ht="91.5" customHeight="1">
      <c r="A6" s="43">
        <v>3</v>
      </c>
      <c r="B6" s="140"/>
      <c r="C6" s="16"/>
      <c r="D6" s="16"/>
      <c r="E6" s="16" t="s">
        <v>38</v>
      </c>
      <c r="G6" s="16"/>
      <c r="I6" s="1"/>
      <c r="J6" s="61"/>
    </row>
    <row r="7" spans="1:10" ht="91.5" customHeight="1">
      <c r="A7" s="43">
        <v>4</v>
      </c>
      <c r="B7" s="140"/>
      <c r="C7" s="16"/>
      <c r="D7" s="16"/>
      <c r="E7" s="16" t="s">
        <v>39</v>
      </c>
      <c r="G7" s="16"/>
      <c r="I7" s="1"/>
      <c r="J7" s="61"/>
    </row>
    <row r="8" spans="1:10" ht="91.5" customHeight="1">
      <c r="A8" s="43">
        <v>5</v>
      </c>
      <c r="B8" s="140"/>
      <c r="C8" s="16"/>
      <c r="D8" s="16"/>
      <c r="E8" s="16" t="s">
        <v>40</v>
      </c>
      <c r="G8" s="16"/>
      <c r="I8" s="1"/>
      <c r="J8" s="61"/>
    </row>
    <row r="9" spans="1:10" ht="91.5" customHeight="1">
      <c r="A9" s="43">
        <v>6</v>
      </c>
      <c r="B9" s="140"/>
      <c r="C9" s="16"/>
      <c r="D9" s="16"/>
      <c r="E9" s="16" t="s">
        <v>41</v>
      </c>
      <c r="G9" s="16" t="s">
        <v>36</v>
      </c>
      <c r="I9" s="1"/>
      <c r="J9" s="61"/>
    </row>
    <row r="10" spans="1:10" ht="91.5" customHeight="1">
      <c r="A10" s="43">
        <v>7</v>
      </c>
      <c r="B10" s="139" t="s">
        <v>42</v>
      </c>
      <c r="C10" s="16" t="s">
        <v>28</v>
      </c>
      <c r="D10" s="62" t="s">
        <v>43</v>
      </c>
      <c r="E10" s="16" t="s">
        <v>44</v>
      </c>
      <c r="F10" s="43" t="s">
        <v>30</v>
      </c>
      <c r="G10" s="16" t="s">
        <v>45</v>
      </c>
      <c r="H10" s="43" t="s">
        <v>32</v>
      </c>
      <c r="I10" s="1" t="s">
        <v>8</v>
      </c>
    </row>
    <row r="11" spans="1:10" ht="91.5" customHeight="1">
      <c r="A11" s="43">
        <v>8</v>
      </c>
      <c r="B11" s="139"/>
      <c r="C11" s="16"/>
      <c r="D11" s="62"/>
      <c r="E11" s="16" t="s">
        <v>46</v>
      </c>
      <c r="G11" s="16"/>
      <c r="I11" s="1"/>
    </row>
    <row r="12" spans="1:10" ht="91.5" customHeight="1">
      <c r="A12" s="43">
        <v>9</v>
      </c>
      <c r="B12" s="139"/>
      <c r="C12" s="16"/>
      <c r="D12" s="62"/>
      <c r="E12" s="16" t="s">
        <v>47</v>
      </c>
      <c r="G12" s="16"/>
      <c r="I12" s="1"/>
    </row>
    <row r="13" spans="1:10" ht="91.5" customHeight="1">
      <c r="A13" s="43">
        <v>10</v>
      </c>
      <c r="B13" s="139"/>
      <c r="C13" s="16"/>
      <c r="D13" s="62"/>
      <c r="E13" s="16" t="s">
        <v>48</v>
      </c>
      <c r="G13" s="16"/>
      <c r="I13" s="1"/>
    </row>
    <row r="14" spans="1:10" ht="91.5" customHeight="1">
      <c r="A14" s="43">
        <v>11</v>
      </c>
      <c r="B14" s="139"/>
      <c r="C14" s="16"/>
      <c r="D14" s="62"/>
      <c r="E14" s="16" t="s">
        <v>49</v>
      </c>
      <c r="G14" s="16"/>
      <c r="I14" s="1"/>
    </row>
    <row r="15" spans="1:10" ht="91.5" customHeight="1">
      <c r="A15" s="43">
        <v>12</v>
      </c>
      <c r="B15" s="139"/>
      <c r="C15" s="16"/>
      <c r="D15" s="62"/>
      <c r="E15" s="16" t="s">
        <v>50</v>
      </c>
      <c r="G15" s="16"/>
      <c r="I15" s="1"/>
    </row>
    <row r="16" spans="1:10" ht="91.5" customHeight="1">
      <c r="A16" s="43">
        <v>13</v>
      </c>
      <c r="B16" s="140" t="s">
        <v>51</v>
      </c>
      <c r="C16" s="16" t="s">
        <v>28</v>
      </c>
      <c r="E16" s="16" t="s">
        <v>52</v>
      </c>
      <c r="F16" s="43" t="s">
        <v>30</v>
      </c>
      <c r="G16" s="16" t="s">
        <v>53</v>
      </c>
      <c r="H16" s="43" t="s">
        <v>32</v>
      </c>
      <c r="I16" s="1" t="s">
        <v>8</v>
      </c>
      <c r="J16" s="61" t="s">
        <v>54</v>
      </c>
    </row>
    <row r="17" spans="1:10" ht="91.5" customHeight="1">
      <c r="A17" s="43">
        <v>14</v>
      </c>
      <c r="B17" s="140"/>
      <c r="C17" s="16"/>
      <c r="E17" s="16" t="s">
        <v>46</v>
      </c>
      <c r="G17" s="16"/>
      <c r="I17" s="1"/>
      <c r="J17" s="61"/>
    </row>
    <row r="18" spans="1:10" ht="91.5" customHeight="1">
      <c r="A18" s="43">
        <v>15</v>
      </c>
      <c r="B18" s="140"/>
      <c r="C18" s="16"/>
      <c r="E18" s="16" t="s">
        <v>47</v>
      </c>
      <c r="G18" s="16"/>
      <c r="I18" s="1"/>
      <c r="J18" s="61"/>
    </row>
    <row r="19" spans="1:10" ht="91.5" customHeight="1">
      <c r="A19" s="43">
        <v>16</v>
      </c>
      <c r="B19" s="140"/>
      <c r="C19" s="16"/>
      <c r="E19" s="16" t="s">
        <v>48</v>
      </c>
      <c r="G19" s="16"/>
      <c r="I19" s="1"/>
      <c r="J19" s="61"/>
    </row>
    <row r="20" spans="1:10" ht="91.5" customHeight="1">
      <c r="A20" s="43">
        <v>17</v>
      </c>
      <c r="B20" s="140"/>
      <c r="C20" s="16"/>
      <c r="E20" s="16" t="s">
        <v>55</v>
      </c>
      <c r="G20" s="16"/>
      <c r="I20" s="1"/>
      <c r="J20" s="61"/>
    </row>
    <row r="21" spans="1:10" ht="91.5" customHeight="1">
      <c r="A21" s="43">
        <v>18</v>
      </c>
      <c r="B21" s="140"/>
      <c r="C21" s="16"/>
      <c r="E21" s="16" t="s">
        <v>50</v>
      </c>
      <c r="G21" s="16"/>
      <c r="I21" s="1"/>
      <c r="J21" s="61"/>
    </row>
    <row r="22" spans="1:10" ht="45.75" customHeight="1">
      <c r="A22" s="43">
        <v>19</v>
      </c>
      <c r="B22" s="136" t="s">
        <v>56</v>
      </c>
      <c r="C22" s="16" t="s">
        <v>28</v>
      </c>
      <c r="E22" s="16" t="s">
        <v>57</v>
      </c>
      <c r="F22" s="43" t="s">
        <v>58</v>
      </c>
      <c r="G22" s="16" t="s">
        <v>59</v>
      </c>
      <c r="H22" s="43" t="s">
        <v>32</v>
      </c>
      <c r="I22" s="1" t="s">
        <v>8</v>
      </c>
    </row>
    <row r="23" spans="1:10" ht="45.75" customHeight="1">
      <c r="A23" s="43">
        <v>20</v>
      </c>
      <c r="B23" s="136"/>
      <c r="C23" s="16"/>
      <c r="E23" s="16" t="s">
        <v>60</v>
      </c>
      <c r="G23" s="16"/>
      <c r="I23" s="1"/>
    </row>
    <row r="24" spans="1:10" ht="137.25" customHeight="1">
      <c r="A24" s="43">
        <v>21</v>
      </c>
      <c r="B24" s="141" t="s">
        <v>61</v>
      </c>
      <c r="C24" s="16" t="s">
        <v>28</v>
      </c>
      <c r="E24" s="16" t="s">
        <v>62</v>
      </c>
      <c r="F24" s="43" t="s">
        <v>30</v>
      </c>
      <c r="G24" s="16" t="s">
        <v>63</v>
      </c>
      <c r="H24" s="43" t="s">
        <v>32</v>
      </c>
      <c r="I24" s="1" t="s">
        <v>8</v>
      </c>
      <c r="J24" s="63" t="s">
        <v>64</v>
      </c>
    </row>
    <row r="25" spans="1:10" ht="137.25" customHeight="1">
      <c r="A25" s="43">
        <v>22</v>
      </c>
      <c r="B25" s="141"/>
      <c r="C25" s="16"/>
      <c r="E25" s="16" t="s">
        <v>65</v>
      </c>
      <c r="G25" s="16"/>
      <c r="I25" s="1"/>
      <c r="J25" s="63"/>
    </row>
    <row r="26" spans="1:10" ht="137.25" customHeight="1">
      <c r="A26" s="43">
        <v>23</v>
      </c>
      <c r="B26" s="141"/>
      <c r="C26" s="16"/>
      <c r="E26" s="16" t="s">
        <v>40</v>
      </c>
      <c r="G26" s="16"/>
      <c r="I26" s="1"/>
      <c r="J26" s="63"/>
    </row>
    <row r="27" spans="1:10" ht="137.25" customHeight="1">
      <c r="A27" s="43">
        <v>24</v>
      </c>
      <c r="B27" s="141"/>
      <c r="C27" s="16"/>
      <c r="E27" s="16" t="s">
        <v>66</v>
      </c>
      <c r="G27" s="16"/>
      <c r="I27" s="1"/>
      <c r="J27" s="63"/>
    </row>
    <row r="28" spans="1:10" ht="137.25" customHeight="1">
      <c r="A28" s="43">
        <v>25</v>
      </c>
      <c r="B28" s="141"/>
      <c r="C28" s="16"/>
      <c r="E28" s="16" t="s">
        <v>67</v>
      </c>
      <c r="G28" s="16"/>
      <c r="I28" s="1"/>
      <c r="J28" s="63"/>
    </row>
    <row r="29" spans="1:10" ht="137.25" customHeight="1">
      <c r="A29" s="43">
        <v>26</v>
      </c>
      <c r="B29" s="141"/>
      <c r="C29" s="16"/>
      <c r="E29" s="16" t="s">
        <v>68</v>
      </c>
      <c r="G29" s="16"/>
      <c r="I29" s="1"/>
      <c r="J29" s="63"/>
    </row>
    <row r="30" spans="1:10" ht="106.5" customHeight="1">
      <c r="A30" s="43">
        <v>27</v>
      </c>
      <c r="B30" s="138" t="s">
        <v>69</v>
      </c>
      <c r="C30" s="16" t="s">
        <v>28</v>
      </c>
      <c r="E30" s="16" t="s">
        <v>70</v>
      </c>
      <c r="F30" s="43" t="s">
        <v>30</v>
      </c>
      <c r="G30" s="16" t="s">
        <v>71</v>
      </c>
      <c r="H30" s="43" t="s">
        <v>72</v>
      </c>
      <c r="I30" s="1" t="s">
        <v>10</v>
      </c>
      <c r="J30" s="63" t="s">
        <v>73</v>
      </c>
    </row>
    <row r="31" spans="1:10" ht="106.5" customHeight="1">
      <c r="A31" s="43">
        <v>28</v>
      </c>
      <c r="B31" s="138"/>
      <c r="C31" s="16"/>
      <c r="E31" s="16" t="s">
        <v>74</v>
      </c>
      <c r="G31" s="16"/>
      <c r="I31" s="1"/>
      <c r="J31" s="63"/>
    </row>
    <row r="32" spans="1:10" ht="106.5" customHeight="1">
      <c r="A32" s="43">
        <v>29</v>
      </c>
      <c r="B32" s="138"/>
      <c r="C32" s="16"/>
      <c r="E32" s="16" t="s">
        <v>75</v>
      </c>
      <c r="G32" s="16"/>
      <c r="I32" s="1"/>
      <c r="J32" s="63"/>
    </row>
    <row r="33" spans="1:10" ht="106.5" customHeight="1">
      <c r="A33" s="43">
        <v>30</v>
      </c>
      <c r="B33" s="138"/>
      <c r="C33" s="16"/>
      <c r="E33" s="16" t="s">
        <v>76</v>
      </c>
      <c r="G33" s="16"/>
      <c r="I33" s="1"/>
      <c r="J33" s="63"/>
    </row>
    <row r="34" spans="1:10" ht="106.5" customHeight="1">
      <c r="A34" s="43">
        <v>31</v>
      </c>
      <c r="B34" s="138"/>
      <c r="C34" s="16"/>
      <c r="E34" s="16" t="s">
        <v>77</v>
      </c>
      <c r="G34" s="16"/>
      <c r="I34" s="1"/>
      <c r="J34" s="63"/>
    </row>
    <row r="35" spans="1:10" ht="106.5" customHeight="1">
      <c r="A35" s="43">
        <v>32</v>
      </c>
      <c r="B35" s="138"/>
      <c r="C35" s="16"/>
      <c r="E35" s="16" t="s">
        <v>78</v>
      </c>
      <c r="G35" s="16"/>
      <c r="I35" s="1"/>
      <c r="J35" s="63"/>
    </row>
    <row r="36" spans="1:10" ht="106.5" customHeight="1">
      <c r="A36" s="43">
        <v>33</v>
      </c>
      <c r="B36" s="138"/>
      <c r="C36" s="16"/>
      <c r="E36" s="16" t="s">
        <v>79</v>
      </c>
      <c r="G36" s="16"/>
      <c r="I36" s="1"/>
      <c r="J36" s="63"/>
    </row>
    <row r="37" spans="1:10" ht="60.75" customHeight="1">
      <c r="A37" s="43">
        <v>34</v>
      </c>
      <c r="B37" s="138" t="s">
        <v>80</v>
      </c>
      <c r="C37" s="16" t="s">
        <v>28</v>
      </c>
      <c r="E37" s="16" t="s">
        <v>81</v>
      </c>
      <c r="F37" s="43" t="s">
        <v>30</v>
      </c>
      <c r="G37" s="16" t="s">
        <v>82</v>
      </c>
      <c r="H37" s="43" t="s">
        <v>32</v>
      </c>
      <c r="I37" s="1" t="s">
        <v>8</v>
      </c>
      <c r="J37" s="63"/>
    </row>
    <row r="38" spans="1:10" ht="60.75" customHeight="1">
      <c r="A38" s="43">
        <v>35</v>
      </c>
      <c r="B38" s="138"/>
      <c r="C38" s="16"/>
      <c r="E38" s="16" t="s">
        <v>83</v>
      </c>
      <c r="G38" s="16"/>
      <c r="I38" s="1"/>
      <c r="J38" s="63"/>
    </row>
    <row r="39" spans="1:10" ht="60.75" customHeight="1">
      <c r="A39" s="43">
        <v>36</v>
      </c>
      <c r="B39" s="138"/>
      <c r="C39" s="16"/>
      <c r="E39" s="16" t="s">
        <v>84</v>
      </c>
      <c r="G39" s="16"/>
      <c r="I39" s="1"/>
      <c r="J39" s="63"/>
    </row>
    <row r="40" spans="1:10" ht="45.75" customHeight="1">
      <c r="A40" s="43">
        <v>37</v>
      </c>
      <c r="B40" s="138" t="s">
        <v>85</v>
      </c>
      <c r="C40" s="16" t="s">
        <v>28</v>
      </c>
      <c r="E40" s="16" t="s">
        <v>86</v>
      </c>
      <c r="F40" s="43" t="s">
        <v>30</v>
      </c>
      <c r="G40" s="16" t="s">
        <v>87</v>
      </c>
      <c r="H40" s="43" t="s">
        <v>32</v>
      </c>
      <c r="I40" s="1" t="s">
        <v>8</v>
      </c>
      <c r="J40" s="63"/>
    </row>
    <row r="41" spans="1:10" ht="45.75" customHeight="1">
      <c r="A41" s="43">
        <v>38</v>
      </c>
      <c r="B41" s="138"/>
      <c r="C41" s="16"/>
      <c r="E41" s="16" t="s">
        <v>88</v>
      </c>
      <c r="G41" s="16"/>
      <c r="I41" s="1"/>
      <c r="J41" s="63"/>
    </row>
    <row r="42" spans="1:10" ht="45.75" customHeight="1">
      <c r="A42" s="43">
        <v>39</v>
      </c>
      <c r="B42" s="138"/>
      <c r="C42" s="16"/>
      <c r="E42" s="16" t="s">
        <v>89</v>
      </c>
      <c r="G42" s="16"/>
      <c r="I42" s="1"/>
      <c r="J42" s="63"/>
    </row>
    <row r="43" spans="1:10" ht="30.75" customHeight="1">
      <c r="A43" s="43">
        <v>40</v>
      </c>
      <c r="B43" s="142" t="s">
        <v>90</v>
      </c>
      <c r="C43" s="16" t="s">
        <v>28</v>
      </c>
      <c r="E43" s="16" t="s">
        <v>91</v>
      </c>
      <c r="F43" s="43" t="s">
        <v>30</v>
      </c>
      <c r="G43" s="16" t="s">
        <v>92</v>
      </c>
      <c r="H43" s="43" t="s">
        <v>32</v>
      </c>
      <c r="I43" s="1" t="s">
        <v>8</v>
      </c>
      <c r="J43" s="63"/>
    </row>
    <row r="44" spans="1:10" ht="30.75" customHeight="1">
      <c r="A44" s="43">
        <v>41</v>
      </c>
      <c r="B44" s="142"/>
      <c r="C44" s="16"/>
      <c r="E44" s="16" t="s">
        <v>93</v>
      </c>
      <c r="G44" s="16"/>
      <c r="I44" s="1"/>
      <c r="J44" s="63"/>
    </row>
    <row r="45" spans="1:10" ht="121.5" customHeight="1">
      <c r="A45" s="43">
        <v>42</v>
      </c>
      <c r="B45" s="138" t="s">
        <v>94</v>
      </c>
      <c r="C45" s="16" t="s">
        <v>28</v>
      </c>
      <c r="E45" s="16" t="s">
        <v>95</v>
      </c>
      <c r="F45" s="43" t="s">
        <v>30</v>
      </c>
      <c r="G45" s="64" t="s">
        <v>96</v>
      </c>
      <c r="I45" s="1" t="s">
        <v>8</v>
      </c>
      <c r="J45" s="63"/>
    </row>
    <row r="46" spans="1:10" ht="121.5" customHeight="1">
      <c r="A46" s="43">
        <v>43</v>
      </c>
      <c r="B46" s="138"/>
      <c r="C46" s="16"/>
      <c r="E46" s="16" t="s">
        <v>83</v>
      </c>
      <c r="G46" s="64"/>
      <c r="I46" s="1"/>
      <c r="J46" s="63"/>
    </row>
    <row r="47" spans="1:10" ht="121.5" customHeight="1">
      <c r="A47" s="43">
        <v>44</v>
      </c>
      <c r="B47" s="138"/>
      <c r="C47" s="16"/>
      <c r="E47" s="16" t="s">
        <v>97</v>
      </c>
      <c r="G47" s="64"/>
      <c r="I47" s="1"/>
      <c r="J47" s="63"/>
    </row>
    <row r="48" spans="1:10" ht="121.5" customHeight="1">
      <c r="A48" s="43">
        <v>45</v>
      </c>
      <c r="B48" s="138"/>
      <c r="C48" s="16"/>
      <c r="E48" s="16" t="s">
        <v>98</v>
      </c>
      <c r="G48" s="64"/>
      <c r="I48" s="1"/>
      <c r="J48" s="63"/>
    </row>
    <row r="49" spans="1:10" ht="121.5" customHeight="1">
      <c r="A49" s="43">
        <v>46</v>
      </c>
      <c r="B49" s="138"/>
      <c r="C49" s="16"/>
      <c r="E49" s="16" t="s">
        <v>99</v>
      </c>
      <c r="G49" s="64"/>
      <c r="I49" s="1"/>
      <c r="J49" s="63"/>
    </row>
    <row r="50" spans="1:10" ht="121.5" customHeight="1">
      <c r="A50" s="43">
        <v>47</v>
      </c>
      <c r="B50" s="138"/>
      <c r="C50" s="16"/>
      <c r="E50" s="16" t="s">
        <v>100</v>
      </c>
      <c r="G50" s="64"/>
      <c r="I50" s="1"/>
      <c r="J50" s="63"/>
    </row>
    <row r="51" spans="1:10" ht="121.5" customHeight="1">
      <c r="A51" s="43">
        <v>48</v>
      </c>
      <c r="B51" s="138"/>
      <c r="C51" s="16"/>
      <c r="E51" s="16" t="s">
        <v>101</v>
      </c>
      <c r="G51" s="64"/>
      <c r="I51" s="1"/>
      <c r="J51" s="63"/>
    </row>
    <row r="52" spans="1:10" ht="121.5" customHeight="1">
      <c r="A52" s="43">
        <v>49</v>
      </c>
      <c r="B52" s="138"/>
      <c r="C52" s="16"/>
      <c r="E52" s="16" t="s">
        <v>102</v>
      </c>
      <c r="G52" s="64"/>
      <c r="I52" s="1"/>
      <c r="J52" s="63"/>
    </row>
    <row r="53" spans="1:10" ht="76.5" customHeight="1">
      <c r="A53" s="43">
        <v>50</v>
      </c>
      <c r="B53" s="143" t="s">
        <v>103</v>
      </c>
      <c r="C53" s="16" t="s">
        <v>28</v>
      </c>
      <c r="E53" s="16" t="s">
        <v>104</v>
      </c>
      <c r="F53" s="43" t="s">
        <v>30</v>
      </c>
      <c r="G53" s="64" t="s">
        <v>105</v>
      </c>
      <c r="I53" s="1" t="s">
        <v>8</v>
      </c>
      <c r="J53" s="63"/>
    </row>
    <row r="54" spans="1:10" ht="76.5" customHeight="1">
      <c r="A54" s="43">
        <v>51</v>
      </c>
      <c r="B54" s="143"/>
      <c r="C54" s="16"/>
      <c r="E54" s="16" t="s">
        <v>106</v>
      </c>
      <c r="G54" s="64"/>
      <c r="I54" s="1"/>
      <c r="J54" s="63"/>
    </row>
    <row r="55" spans="1:10" ht="76.5" customHeight="1">
      <c r="A55" s="43">
        <v>52</v>
      </c>
      <c r="B55" s="143"/>
      <c r="C55" s="16"/>
      <c r="E55" s="16" t="s">
        <v>107</v>
      </c>
      <c r="G55" s="64"/>
      <c r="I55" s="1"/>
      <c r="J55" s="63"/>
    </row>
    <row r="56" spans="1:10" ht="60.75" customHeight="1">
      <c r="A56" s="43">
        <v>53</v>
      </c>
      <c r="B56" s="141" t="s">
        <v>108</v>
      </c>
      <c r="C56" s="16" t="s">
        <v>28</v>
      </c>
      <c r="E56" s="16" t="s">
        <v>109</v>
      </c>
      <c r="F56" s="43" t="s">
        <v>30</v>
      </c>
      <c r="G56" s="65" t="s">
        <v>110</v>
      </c>
      <c r="H56" s="43" t="s">
        <v>32</v>
      </c>
      <c r="I56" s="1" t="s">
        <v>8</v>
      </c>
      <c r="J56" s="61" t="s">
        <v>111</v>
      </c>
    </row>
    <row r="57" spans="1:10" ht="60.75" customHeight="1">
      <c r="A57" s="43">
        <v>54</v>
      </c>
      <c r="B57" s="141"/>
      <c r="C57" s="16"/>
      <c r="E57" s="16" t="s">
        <v>74</v>
      </c>
      <c r="G57" s="65"/>
      <c r="I57" s="1"/>
      <c r="J57" s="61"/>
    </row>
    <row r="58" spans="1:10" ht="60.75" customHeight="1">
      <c r="A58" s="43">
        <v>55</v>
      </c>
      <c r="B58" s="141"/>
      <c r="C58" s="16"/>
      <c r="E58" s="16" t="s">
        <v>112</v>
      </c>
      <c r="G58" s="65"/>
      <c r="I58" s="1"/>
      <c r="J58" s="61"/>
    </row>
    <row r="59" spans="1:10" ht="60.75" customHeight="1">
      <c r="A59" s="43">
        <v>56</v>
      </c>
      <c r="B59" s="136" t="s">
        <v>113</v>
      </c>
      <c r="C59" s="16" t="s">
        <v>114</v>
      </c>
      <c r="D59" s="16" t="s">
        <v>115</v>
      </c>
      <c r="E59" s="16" t="s">
        <v>116</v>
      </c>
      <c r="F59" s="43" t="s">
        <v>117</v>
      </c>
      <c r="G59" s="43" t="s">
        <v>118</v>
      </c>
      <c r="H59" s="16" t="s">
        <v>119</v>
      </c>
      <c r="I59" s="1" t="s">
        <v>10</v>
      </c>
      <c r="J59" s="61" t="s">
        <v>120</v>
      </c>
    </row>
    <row r="60" spans="1:10" ht="60.75" customHeight="1">
      <c r="A60" s="43">
        <v>57</v>
      </c>
      <c r="B60" s="136"/>
      <c r="C60" s="16"/>
      <c r="D60" s="16"/>
      <c r="E60" s="16" t="s">
        <v>121</v>
      </c>
      <c r="H60" s="16"/>
      <c r="I60" s="1"/>
      <c r="J60" s="61"/>
    </row>
    <row r="61" spans="1:10" ht="66.75" customHeight="1">
      <c r="A61" s="43">
        <v>58</v>
      </c>
      <c r="B61" s="137" t="s">
        <v>122</v>
      </c>
      <c r="C61" s="16"/>
      <c r="E61" s="66" t="s">
        <v>123</v>
      </c>
      <c r="G61" s="67" t="s">
        <v>124</v>
      </c>
      <c r="H61" s="43" t="s">
        <v>32</v>
      </c>
      <c r="I61" s="1" t="s">
        <v>8</v>
      </c>
      <c r="J61" s="63" t="s">
        <v>125</v>
      </c>
    </row>
    <row r="62" spans="1:10" ht="66.75" customHeight="1">
      <c r="A62" s="43">
        <v>59</v>
      </c>
      <c r="B62" s="137"/>
      <c r="C62" s="16"/>
      <c r="E62" s="66" t="s">
        <v>126</v>
      </c>
      <c r="G62" s="67"/>
      <c r="I62" s="1"/>
      <c r="J62" s="63"/>
    </row>
    <row r="63" spans="1:10">
      <c r="B63" s="16"/>
      <c r="C63" s="16"/>
      <c r="E63" s="67"/>
    </row>
    <row r="64" spans="1:10">
      <c r="B64" s="68"/>
      <c r="C64" s="16"/>
      <c r="D64" s="69"/>
      <c r="G64" s="68"/>
      <c r="H64" s="68"/>
    </row>
    <row r="65" spans="2:10">
      <c r="B65" s="16"/>
      <c r="C65" s="16"/>
      <c r="G65" s="16"/>
    </row>
    <row r="66" spans="2:10">
      <c r="B66" s="16"/>
      <c r="C66" s="16"/>
    </row>
    <row r="67" spans="2:10">
      <c r="B67" s="16"/>
      <c r="C67" s="16"/>
      <c r="G67" s="16"/>
      <c r="J67" s="63"/>
    </row>
    <row r="68" spans="2:10">
      <c r="B68" s="16"/>
      <c r="C68" s="16"/>
      <c r="G68" s="16"/>
      <c r="H68" s="16"/>
      <c r="J68" s="63"/>
    </row>
    <row r="69" spans="2:10">
      <c r="B69" s="16"/>
      <c r="G69" s="16"/>
      <c r="J69" s="63"/>
    </row>
    <row r="70" spans="2:10">
      <c r="B70" s="16"/>
    </row>
    <row r="71" spans="2:10">
      <c r="B71" s="16"/>
      <c r="G71" s="16"/>
    </row>
    <row r="72" spans="2:10">
      <c r="B72" s="16"/>
    </row>
    <row r="73" spans="2:10">
      <c r="B73" s="16"/>
      <c r="G73" s="16"/>
    </row>
    <row r="74" spans="2:10">
      <c r="B74" s="16"/>
      <c r="G74" s="16"/>
    </row>
    <row r="75" spans="2:10">
      <c r="B75" s="16"/>
    </row>
    <row r="76" spans="2:10">
      <c r="B76" s="16"/>
    </row>
    <row r="77" spans="2:10">
      <c r="B77" s="16"/>
      <c r="G77" s="16"/>
    </row>
    <row r="78" spans="2:10">
      <c r="B78" s="16"/>
      <c r="E78" s="16"/>
      <c r="G78" s="16"/>
      <c r="J78" s="63"/>
    </row>
    <row r="79" spans="2:10">
      <c r="B79" s="70"/>
      <c r="E79" s="16"/>
      <c r="J79" s="63"/>
    </row>
    <row r="80" spans="2:10">
      <c r="H80" s="71"/>
      <c r="J80" s="63"/>
    </row>
    <row r="81" spans="5:10">
      <c r="J81" s="63"/>
    </row>
    <row r="82" spans="5:10">
      <c r="E82" s="16"/>
      <c r="G82" s="67"/>
      <c r="J82" s="63"/>
    </row>
  </sheetData>
  <autoFilter ref="I1:I82" xr:uid="{00000000-0001-0000-0100-000000000000}"/>
  <mergeCells count="14">
    <mergeCell ref="B5:B9"/>
    <mergeCell ref="B40:B42"/>
    <mergeCell ref="B43:B44"/>
    <mergeCell ref="B53:B55"/>
    <mergeCell ref="B56:B58"/>
    <mergeCell ref="B59:B60"/>
    <mergeCell ref="B61:B62"/>
    <mergeCell ref="B45:B52"/>
    <mergeCell ref="B10:B15"/>
    <mergeCell ref="B22:B23"/>
    <mergeCell ref="B16:B21"/>
    <mergeCell ref="B24:B29"/>
    <mergeCell ref="B30:B36"/>
    <mergeCell ref="B37:B39"/>
  </mergeCells>
  <dataValidations count="1">
    <dataValidation type="list" allowBlank="1" showInputMessage="1" showErrorMessage="1" sqref="I4:I62" xr:uid="{00000000-0002-0000-0100-000000000000}">
      <formula1>"In Design, Ready, Reviewed Completed, Pass, Fail, Blocked, No Run"</formula1>
    </dataValidation>
  </dataValidations>
  <hyperlinks>
    <hyperlink ref="J5" r:id="rId1" display="https://prutech.atlassian.net/browse/DOEECMS-1910" xr:uid="{00000000-0004-0000-0100-000000000000}"/>
    <hyperlink ref="J16" r:id="rId2" display="https://prutech.atlassian.net/browse/DOEECMS-1905" xr:uid="{00000000-0004-0000-0100-000001000000}"/>
    <hyperlink ref="J24" r:id="rId3" xr:uid="{00000000-0004-0000-0100-000002000000}"/>
    <hyperlink ref="J30" r:id="rId4" xr:uid="{00000000-0004-0000-0100-000003000000}"/>
    <hyperlink ref="J56" r:id="rId5" display="https://prutech.atlassian.net/browse/DOEECMS-2056" xr:uid="{00000000-0004-0000-0100-000004000000}"/>
    <hyperlink ref="J59" r:id="rId6" xr:uid="{00000000-0004-0000-0100-000005000000}"/>
    <hyperlink ref="J61" r:id="rId7" xr:uid="{00000000-0004-0000-0100-000006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L205"/>
  <sheetViews>
    <sheetView workbookViewId="0">
      <pane ySplit="2" topLeftCell="A3" activePane="bottomLeft" state="frozen"/>
      <selection pane="bottomLeft" activeCell="G4" sqref="G4"/>
    </sheetView>
  </sheetViews>
  <sheetFormatPr defaultRowHeight="15"/>
  <cols>
    <col min="1" max="1" width="13.42578125" style="45" customWidth="1"/>
    <col min="2" max="2" width="38.140625" style="33" customWidth="1"/>
    <col min="3" max="3" width="16.42578125" hidden="1" customWidth="1"/>
    <col min="4" max="4" width="41.140625" hidden="1" customWidth="1"/>
    <col min="5" max="5" width="27.5703125" hidden="1" customWidth="1"/>
    <col min="6" max="6" width="36" customWidth="1"/>
    <col min="7" max="7" width="9.140625" style="3" customWidth="1"/>
    <col min="8" max="8" width="19.5703125" customWidth="1"/>
    <col min="9" max="9" width="9.140625" style="1" customWidth="1"/>
    <col min="10" max="10" width="52.7109375" customWidth="1"/>
    <col min="11" max="11" width="23" customWidth="1"/>
    <col min="12" max="12" width="48.85546875" hidden="1" customWidth="1"/>
    <col min="13" max="13" width="9.140625" customWidth="1"/>
  </cols>
  <sheetData>
    <row r="1" spans="1:12">
      <c r="A1" s="1">
        <f>COUNT(A3:A97)</f>
        <v>95</v>
      </c>
      <c r="B1" s="33" t="s">
        <v>127</v>
      </c>
    </row>
    <row r="2" spans="1:12">
      <c r="A2" s="52" t="s">
        <v>18</v>
      </c>
      <c r="B2" s="52" t="s">
        <v>19</v>
      </c>
      <c r="C2" s="27" t="s">
        <v>20</v>
      </c>
      <c r="D2" s="27" t="s">
        <v>128</v>
      </c>
      <c r="E2" s="27" t="s">
        <v>129</v>
      </c>
      <c r="F2" s="46" t="s">
        <v>21</v>
      </c>
      <c r="G2" s="52" t="s">
        <v>22</v>
      </c>
      <c r="H2" s="27" t="s">
        <v>23</v>
      </c>
      <c r="I2" s="46" t="s">
        <v>24</v>
      </c>
      <c r="J2" s="46" t="s">
        <v>130</v>
      </c>
      <c r="K2" s="55" t="s">
        <v>0</v>
      </c>
      <c r="L2" s="27" t="s">
        <v>131</v>
      </c>
    </row>
    <row r="3" spans="1:12" ht="78.75" customHeight="1">
      <c r="A3" s="1">
        <v>1</v>
      </c>
      <c r="B3" s="144" t="s">
        <v>132</v>
      </c>
      <c r="C3" t="s">
        <v>133</v>
      </c>
      <c r="D3" t="s">
        <v>134</v>
      </c>
      <c r="E3" t="s">
        <v>135</v>
      </c>
      <c r="F3" s="48" t="s">
        <v>136</v>
      </c>
      <c r="G3" s="53" t="s">
        <v>137</v>
      </c>
      <c r="H3" t="s">
        <v>138</v>
      </c>
      <c r="I3" s="47" t="s">
        <v>132</v>
      </c>
      <c r="J3" s="47" t="s">
        <v>139</v>
      </c>
      <c r="K3" s="1" t="s">
        <v>8</v>
      </c>
    </row>
    <row r="4" spans="1:12" ht="78.75" customHeight="1">
      <c r="A4" s="1">
        <v>1</v>
      </c>
      <c r="B4" s="145"/>
      <c r="C4" t="s">
        <v>133</v>
      </c>
      <c r="D4" t="s">
        <v>134</v>
      </c>
      <c r="E4" t="s">
        <v>135</v>
      </c>
      <c r="F4" s="48"/>
      <c r="G4" s="53" t="s">
        <v>140</v>
      </c>
      <c r="I4" s="47" t="s">
        <v>141</v>
      </c>
      <c r="J4" s="47" t="s">
        <v>139</v>
      </c>
      <c r="K4" s="1" t="s">
        <v>2</v>
      </c>
    </row>
    <row r="5" spans="1:12" ht="78.75" customHeight="1">
      <c r="A5" s="1">
        <v>1</v>
      </c>
      <c r="B5" s="145"/>
      <c r="C5" t="s">
        <v>133</v>
      </c>
      <c r="D5" t="s">
        <v>134</v>
      </c>
      <c r="E5" t="s">
        <v>135</v>
      </c>
      <c r="F5" s="48"/>
      <c r="G5" s="53" t="s">
        <v>142</v>
      </c>
      <c r="I5" s="47"/>
      <c r="J5" s="47"/>
      <c r="K5" s="1" t="s">
        <v>2</v>
      </c>
    </row>
    <row r="6" spans="1:12" ht="78.75" customHeight="1">
      <c r="A6" s="1">
        <v>1</v>
      </c>
      <c r="B6" s="145"/>
      <c r="C6" t="s">
        <v>133</v>
      </c>
      <c r="D6" t="s">
        <v>134</v>
      </c>
      <c r="E6" t="s">
        <v>135</v>
      </c>
      <c r="F6" s="48"/>
      <c r="G6" s="53" t="s">
        <v>143</v>
      </c>
      <c r="I6" s="47"/>
      <c r="J6" s="47"/>
      <c r="K6" s="1" t="s">
        <v>2</v>
      </c>
    </row>
    <row r="7" spans="1:12" ht="45.75" customHeight="1">
      <c r="A7" s="1">
        <v>1</v>
      </c>
      <c r="B7" s="50" t="s">
        <v>144</v>
      </c>
      <c r="C7" s="13" t="s">
        <v>133</v>
      </c>
      <c r="D7" s="4" t="s">
        <v>145</v>
      </c>
      <c r="E7" s="13" t="s">
        <v>135</v>
      </c>
      <c r="F7" s="48" t="s">
        <v>136</v>
      </c>
      <c r="G7" s="53" t="s">
        <v>137</v>
      </c>
      <c r="H7" s="13" t="s">
        <v>138</v>
      </c>
      <c r="I7" s="47" t="s">
        <v>146</v>
      </c>
      <c r="J7" s="47" t="s">
        <v>147</v>
      </c>
      <c r="K7" s="1" t="s">
        <v>10</v>
      </c>
      <c r="L7" s="14" t="s">
        <v>148</v>
      </c>
    </row>
    <row r="8" spans="1:12" ht="27" customHeight="1">
      <c r="A8" s="1">
        <v>1</v>
      </c>
      <c r="B8" s="50"/>
      <c r="C8" s="13" t="s">
        <v>133</v>
      </c>
      <c r="D8" s="4" t="s">
        <v>145</v>
      </c>
      <c r="E8" s="13" t="s">
        <v>135</v>
      </c>
      <c r="F8" s="48"/>
      <c r="G8" s="53" t="s">
        <v>140</v>
      </c>
      <c r="H8" s="13"/>
      <c r="I8" s="47"/>
      <c r="J8" s="47"/>
      <c r="K8" s="1" t="s">
        <v>2</v>
      </c>
      <c r="L8" s="14"/>
    </row>
    <row r="9" spans="1:12">
      <c r="A9" s="1">
        <v>1</v>
      </c>
      <c r="B9" s="50"/>
      <c r="C9" s="13" t="s">
        <v>133</v>
      </c>
      <c r="D9" s="4" t="s">
        <v>145</v>
      </c>
      <c r="E9" s="13" t="s">
        <v>135</v>
      </c>
      <c r="F9" s="48"/>
      <c r="G9" s="53" t="s">
        <v>149</v>
      </c>
      <c r="H9" s="13"/>
      <c r="I9" s="47"/>
      <c r="J9" s="47"/>
      <c r="K9" s="1" t="s">
        <v>2</v>
      </c>
      <c r="L9" s="14"/>
    </row>
    <row r="10" spans="1:12" ht="53.25" customHeight="1">
      <c r="A10" s="1">
        <v>1</v>
      </c>
      <c r="B10" s="50" t="s">
        <v>150</v>
      </c>
      <c r="C10" s="13" t="s">
        <v>133</v>
      </c>
      <c r="D10" s="4" t="s">
        <v>151</v>
      </c>
      <c r="E10" s="13" t="s">
        <v>135</v>
      </c>
      <c r="F10" s="47" t="s">
        <v>136</v>
      </c>
      <c r="G10" s="53" t="s">
        <v>152</v>
      </c>
      <c r="H10" s="13" t="s">
        <v>138</v>
      </c>
      <c r="I10" s="47" t="s">
        <v>153</v>
      </c>
      <c r="J10" s="47" t="s">
        <v>154</v>
      </c>
      <c r="K10" s="1" t="s">
        <v>10</v>
      </c>
      <c r="L10" s="14" t="s">
        <v>155</v>
      </c>
    </row>
    <row r="11" spans="1:12" ht="33" customHeight="1">
      <c r="A11" s="1">
        <v>1</v>
      </c>
      <c r="B11" s="50"/>
      <c r="C11" s="13" t="s">
        <v>133</v>
      </c>
      <c r="D11" s="4" t="s">
        <v>151</v>
      </c>
      <c r="E11" s="13" t="s">
        <v>135</v>
      </c>
      <c r="F11" s="47"/>
      <c r="G11" s="53" t="s">
        <v>156</v>
      </c>
      <c r="H11" s="13"/>
      <c r="I11" s="47"/>
      <c r="J11" s="47"/>
      <c r="K11" s="1" t="s">
        <v>8</v>
      </c>
      <c r="L11" s="14"/>
    </row>
    <row r="12" spans="1:12" ht="37.5" customHeight="1">
      <c r="A12" s="1">
        <v>1</v>
      </c>
      <c r="B12" s="50"/>
      <c r="C12" s="13" t="s">
        <v>133</v>
      </c>
      <c r="D12" s="4" t="s">
        <v>151</v>
      </c>
      <c r="E12" s="13" t="s">
        <v>135</v>
      </c>
      <c r="F12" s="47"/>
      <c r="G12" s="53" t="s">
        <v>157</v>
      </c>
      <c r="H12" s="13"/>
      <c r="I12" s="47"/>
      <c r="J12" s="47"/>
      <c r="K12" s="1" t="s">
        <v>8</v>
      </c>
      <c r="L12" s="14"/>
    </row>
    <row r="13" spans="1:12" ht="29.25" customHeight="1">
      <c r="A13" s="1">
        <v>1</v>
      </c>
      <c r="B13" s="50"/>
      <c r="C13" s="13" t="s">
        <v>133</v>
      </c>
      <c r="D13" s="4" t="s">
        <v>151</v>
      </c>
      <c r="E13" s="13" t="s">
        <v>135</v>
      </c>
      <c r="F13" s="47"/>
      <c r="G13" s="53" t="s">
        <v>158</v>
      </c>
      <c r="H13" s="13"/>
      <c r="I13" s="47"/>
      <c r="J13" s="47"/>
      <c r="K13" s="1" t="s">
        <v>8</v>
      </c>
      <c r="L13" s="14"/>
    </row>
    <row r="14" spans="1:12" ht="42" customHeight="1">
      <c r="A14" s="1">
        <v>1</v>
      </c>
      <c r="B14" s="50" t="s">
        <v>159</v>
      </c>
      <c r="C14" t="s">
        <v>133</v>
      </c>
      <c r="D14" t="s">
        <v>160</v>
      </c>
      <c r="E14" t="s">
        <v>135</v>
      </c>
      <c r="F14" s="48" t="s">
        <v>161</v>
      </c>
      <c r="G14" s="53" t="s">
        <v>137</v>
      </c>
      <c r="H14" t="s">
        <v>138</v>
      </c>
      <c r="I14" s="47" t="s">
        <v>162</v>
      </c>
      <c r="J14" s="47" t="s">
        <v>139</v>
      </c>
      <c r="K14" s="1" t="s">
        <v>8</v>
      </c>
    </row>
    <row r="15" spans="1:12" ht="27" customHeight="1">
      <c r="A15" s="1">
        <v>1</v>
      </c>
      <c r="B15" s="50"/>
      <c r="C15" t="s">
        <v>133</v>
      </c>
      <c r="D15" t="s">
        <v>160</v>
      </c>
      <c r="E15" t="s">
        <v>135</v>
      </c>
      <c r="F15" s="48"/>
      <c r="G15" s="53" t="s">
        <v>156</v>
      </c>
      <c r="I15" s="47"/>
      <c r="J15" s="47"/>
      <c r="K15" s="1" t="s">
        <v>8</v>
      </c>
    </row>
    <row r="16" spans="1:12" ht="50.25" customHeight="1">
      <c r="A16" s="1">
        <v>1</v>
      </c>
      <c r="B16" s="50"/>
      <c r="C16" t="s">
        <v>133</v>
      </c>
      <c r="D16" t="s">
        <v>160</v>
      </c>
      <c r="E16" t="s">
        <v>135</v>
      </c>
      <c r="F16" s="48"/>
      <c r="G16" s="53" t="s">
        <v>163</v>
      </c>
      <c r="I16" s="47"/>
      <c r="J16" s="47"/>
      <c r="K16" s="1" t="s">
        <v>8</v>
      </c>
    </row>
    <row r="17" spans="1:12" ht="39.75" customHeight="1">
      <c r="A17" s="1">
        <v>1</v>
      </c>
      <c r="B17" s="50"/>
      <c r="C17" t="s">
        <v>133</v>
      </c>
      <c r="D17" t="s">
        <v>160</v>
      </c>
      <c r="E17" t="s">
        <v>135</v>
      </c>
      <c r="F17" s="48"/>
      <c r="G17" s="53" t="s">
        <v>164</v>
      </c>
      <c r="I17" s="47"/>
      <c r="J17" s="47"/>
      <c r="K17" s="1" t="s">
        <v>8</v>
      </c>
    </row>
    <row r="18" spans="1:12" ht="138" customHeight="1">
      <c r="A18" s="1">
        <v>1</v>
      </c>
      <c r="B18" s="50" t="s">
        <v>165</v>
      </c>
      <c r="C18" s="146" t="s">
        <v>133</v>
      </c>
      <c r="D18" s="146" t="s">
        <v>166</v>
      </c>
      <c r="E18" s="146" t="s">
        <v>167</v>
      </c>
      <c r="F18" s="48" t="s">
        <v>136</v>
      </c>
      <c r="G18" s="53" t="s">
        <v>137</v>
      </c>
      <c r="H18" s="13" t="s">
        <v>138</v>
      </c>
      <c r="I18" s="47" t="s">
        <v>168</v>
      </c>
      <c r="J18" s="47" t="s">
        <v>169</v>
      </c>
      <c r="K18" s="1" t="s">
        <v>10</v>
      </c>
      <c r="L18" s="14" t="s">
        <v>170</v>
      </c>
    </row>
    <row r="19" spans="1:12" ht="78" customHeight="1">
      <c r="A19" s="1">
        <v>1</v>
      </c>
      <c r="B19" s="50"/>
      <c r="C19" s="181"/>
      <c r="D19" s="181"/>
      <c r="E19" s="181"/>
      <c r="F19" s="48"/>
      <c r="G19" s="53" t="s">
        <v>156</v>
      </c>
      <c r="H19" s="13"/>
      <c r="I19" s="47"/>
      <c r="J19" s="47"/>
      <c r="K19" s="1" t="s">
        <v>8</v>
      </c>
      <c r="L19" s="14"/>
    </row>
    <row r="20" spans="1:12" ht="53.25" customHeight="1">
      <c r="A20" s="1">
        <v>1</v>
      </c>
      <c r="B20" s="50"/>
      <c r="C20" s="181"/>
      <c r="D20" s="181"/>
      <c r="E20" s="181"/>
      <c r="F20" s="48"/>
      <c r="G20" s="53" t="s">
        <v>171</v>
      </c>
      <c r="H20" s="13"/>
      <c r="I20" s="47"/>
      <c r="J20" s="47"/>
      <c r="K20" s="1" t="s">
        <v>8</v>
      </c>
      <c r="L20" s="14"/>
    </row>
    <row r="21" spans="1:12" ht="48" customHeight="1">
      <c r="A21" s="1">
        <v>1</v>
      </c>
      <c r="B21" s="50"/>
      <c r="C21" s="181"/>
      <c r="D21" s="181"/>
      <c r="E21" s="181"/>
      <c r="F21" s="48"/>
      <c r="G21" s="53" t="s">
        <v>172</v>
      </c>
      <c r="H21" s="13"/>
      <c r="I21" s="47"/>
      <c r="J21" s="47"/>
      <c r="K21" s="1" t="s">
        <v>8</v>
      </c>
      <c r="L21" s="14"/>
    </row>
    <row r="22" spans="1:12" ht="51" customHeight="1">
      <c r="A22" s="1">
        <v>1</v>
      </c>
      <c r="B22" s="50" t="s">
        <v>173</v>
      </c>
      <c r="C22" s="13" t="s">
        <v>133</v>
      </c>
      <c r="D22" s="13" t="s">
        <v>174</v>
      </c>
      <c r="E22" s="13" t="s">
        <v>135</v>
      </c>
      <c r="F22" s="48" t="s">
        <v>175</v>
      </c>
      <c r="G22" s="53" t="s">
        <v>176</v>
      </c>
      <c r="H22" s="13" t="s">
        <v>138</v>
      </c>
      <c r="I22" s="47" t="s">
        <v>173</v>
      </c>
      <c r="J22" s="47"/>
      <c r="K22" s="1" t="s">
        <v>10</v>
      </c>
      <c r="L22" s="14" t="s">
        <v>177</v>
      </c>
    </row>
    <row r="23" spans="1:12" ht="68.25" customHeight="1">
      <c r="A23" s="1">
        <v>1</v>
      </c>
      <c r="B23" s="50"/>
      <c r="C23" s="13" t="s">
        <v>133</v>
      </c>
      <c r="D23" s="13" t="s">
        <v>174</v>
      </c>
      <c r="E23" s="13" t="s">
        <v>135</v>
      </c>
      <c r="F23" s="47"/>
      <c r="G23" s="53" t="s">
        <v>178</v>
      </c>
      <c r="I23" s="47"/>
      <c r="J23" s="47"/>
      <c r="K23" s="1" t="s">
        <v>8</v>
      </c>
    </row>
    <row r="24" spans="1:12" ht="112.5" customHeight="1">
      <c r="A24" s="1">
        <v>1</v>
      </c>
      <c r="B24" s="50" t="s">
        <v>179</v>
      </c>
      <c r="C24" t="s">
        <v>133</v>
      </c>
      <c r="D24" t="s">
        <v>180</v>
      </c>
      <c r="E24" t="s">
        <v>135</v>
      </c>
      <c r="F24" s="47" t="s">
        <v>181</v>
      </c>
      <c r="G24" s="53" t="s">
        <v>182</v>
      </c>
      <c r="H24" t="s">
        <v>183</v>
      </c>
      <c r="I24" s="47"/>
      <c r="J24" s="47" t="s">
        <v>139</v>
      </c>
      <c r="K24" s="1" t="s">
        <v>8</v>
      </c>
    </row>
    <row r="25" spans="1:12" ht="112.5" customHeight="1">
      <c r="A25" s="1">
        <v>1</v>
      </c>
      <c r="B25" s="50"/>
      <c r="F25" s="47"/>
      <c r="G25" s="53" t="s">
        <v>184</v>
      </c>
      <c r="I25" s="47"/>
      <c r="J25" s="47"/>
      <c r="K25" s="1"/>
    </row>
    <row r="26" spans="1:12" ht="112.5" customHeight="1">
      <c r="A26" s="1">
        <v>1</v>
      </c>
      <c r="B26" s="50"/>
      <c r="F26" s="47"/>
      <c r="G26" s="53" t="s">
        <v>185</v>
      </c>
      <c r="I26" s="47" t="s">
        <v>186</v>
      </c>
      <c r="J26" s="47"/>
      <c r="K26" s="1"/>
    </row>
    <row r="27" spans="1:12" ht="188.25" customHeight="1">
      <c r="A27" s="1">
        <v>1</v>
      </c>
      <c r="B27" s="50" t="s">
        <v>187</v>
      </c>
      <c r="C27" t="s">
        <v>133</v>
      </c>
      <c r="D27" t="s">
        <v>166</v>
      </c>
      <c r="E27" t="s">
        <v>135</v>
      </c>
      <c r="F27" s="47"/>
      <c r="G27" s="53" t="s">
        <v>188</v>
      </c>
      <c r="I27" s="49" t="s">
        <v>189</v>
      </c>
      <c r="J27" s="49" t="s">
        <v>190</v>
      </c>
      <c r="K27" s="1" t="s">
        <v>8</v>
      </c>
      <c r="L27" s="12" t="s">
        <v>191</v>
      </c>
    </row>
    <row r="28" spans="1:12" ht="188.25" customHeight="1">
      <c r="A28" s="1">
        <v>1</v>
      </c>
      <c r="B28" s="50"/>
      <c r="F28" s="47"/>
      <c r="G28" s="53" t="s">
        <v>192</v>
      </c>
      <c r="I28" s="49"/>
      <c r="J28" s="49"/>
      <c r="K28" s="1"/>
      <c r="L28" s="12"/>
    </row>
    <row r="29" spans="1:12" ht="188.25" customHeight="1">
      <c r="A29" s="1">
        <v>1</v>
      </c>
      <c r="B29" s="50"/>
      <c r="F29" s="47"/>
      <c r="G29" s="53" t="s">
        <v>193</v>
      </c>
      <c r="I29" s="49"/>
      <c r="J29" s="49"/>
      <c r="K29" s="1"/>
      <c r="L29" s="12"/>
    </row>
    <row r="30" spans="1:12" ht="188.25" customHeight="1">
      <c r="A30" s="1">
        <v>1</v>
      </c>
      <c r="B30" s="50"/>
      <c r="F30" s="47"/>
      <c r="G30" s="53" t="s">
        <v>194</v>
      </c>
      <c r="I30" s="49"/>
      <c r="J30" s="49"/>
      <c r="K30" s="1"/>
      <c r="L30" s="12"/>
    </row>
    <row r="31" spans="1:12" ht="188.25" customHeight="1">
      <c r="A31" s="1">
        <v>1</v>
      </c>
      <c r="B31" s="50"/>
      <c r="F31" s="47"/>
      <c r="G31" s="53" t="s">
        <v>195</v>
      </c>
      <c r="I31" s="49" t="s">
        <v>190</v>
      </c>
      <c r="J31" s="49"/>
      <c r="K31" s="1"/>
      <c r="L31" s="12"/>
    </row>
    <row r="32" spans="1:12" ht="85.5" customHeight="1">
      <c r="A32" s="1">
        <v>1</v>
      </c>
      <c r="B32" s="147" t="s">
        <v>196</v>
      </c>
      <c r="C32" t="s">
        <v>133</v>
      </c>
      <c r="D32" t="s">
        <v>180</v>
      </c>
      <c r="E32" t="s">
        <v>167</v>
      </c>
      <c r="F32" s="47"/>
      <c r="G32" s="53" t="s">
        <v>197</v>
      </c>
      <c r="I32" s="49"/>
      <c r="J32" s="49"/>
      <c r="K32" s="1" t="s">
        <v>8</v>
      </c>
      <c r="L32" s="12" t="s">
        <v>198</v>
      </c>
    </row>
    <row r="33" spans="1:12" ht="85.5" customHeight="1">
      <c r="A33" s="1">
        <v>1</v>
      </c>
      <c r="B33" s="147"/>
      <c r="F33" s="47"/>
      <c r="G33" s="53" t="s">
        <v>199</v>
      </c>
      <c r="I33" s="49" t="s">
        <v>200</v>
      </c>
      <c r="J33" s="49" t="s">
        <v>201</v>
      </c>
      <c r="K33" s="1" t="s">
        <v>8</v>
      </c>
      <c r="L33" s="12"/>
    </row>
    <row r="34" spans="1:12" ht="202.5" customHeight="1">
      <c r="A34" s="1">
        <v>1</v>
      </c>
      <c r="B34" s="50" t="s">
        <v>202</v>
      </c>
      <c r="C34" t="s">
        <v>133</v>
      </c>
      <c r="D34" s="1" t="s">
        <v>145</v>
      </c>
      <c r="E34" t="s">
        <v>135</v>
      </c>
      <c r="F34" s="47"/>
      <c r="G34" s="53" t="s">
        <v>188</v>
      </c>
      <c r="I34" s="49" t="s">
        <v>203</v>
      </c>
      <c r="J34" s="49" t="s">
        <v>204</v>
      </c>
      <c r="K34" s="1" t="s">
        <v>8</v>
      </c>
      <c r="L34" s="12" t="s">
        <v>205</v>
      </c>
    </row>
    <row r="35" spans="1:12" ht="202.5" customHeight="1">
      <c r="A35" s="1">
        <v>1</v>
      </c>
      <c r="B35" s="50"/>
      <c r="D35" s="1"/>
      <c r="F35" s="47"/>
      <c r="G35" s="79" t="s">
        <v>192</v>
      </c>
      <c r="I35" s="49"/>
      <c r="J35" s="49"/>
      <c r="K35" s="1"/>
      <c r="L35" s="12"/>
    </row>
    <row r="36" spans="1:12" ht="202.5" customHeight="1">
      <c r="A36" s="1">
        <v>1</v>
      </c>
      <c r="B36" s="50"/>
      <c r="D36" s="1"/>
      <c r="F36" s="47"/>
      <c r="G36" s="53" t="s">
        <v>206</v>
      </c>
      <c r="I36" s="49"/>
      <c r="J36" s="49"/>
      <c r="K36" s="1"/>
      <c r="L36" s="12"/>
    </row>
    <row r="37" spans="1:12" ht="202.5" customHeight="1">
      <c r="A37" s="1">
        <v>1</v>
      </c>
      <c r="B37" s="50"/>
      <c r="D37" s="1"/>
      <c r="F37" s="47"/>
      <c r="G37" s="53" t="s">
        <v>195</v>
      </c>
      <c r="I37" s="49"/>
      <c r="J37" s="49"/>
      <c r="K37" s="1"/>
      <c r="L37" s="12"/>
    </row>
    <row r="38" spans="1:12" ht="202.5" customHeight="1">
      <c r="A38" s="1">
        <v>1</v>
      </c>
      <c r="B38" s="50"/>
      <c r="D38" s="1"/>
      <c r="F38" s="47"/>
      <c r="G38" s="53" t="s">
        <v>207</v>
      </c>
      <c r="I38" s="49"/>
      <c r="J38" s="49"/>
      <c r="K38" s="1"/>
      <c r="L38" s="12"/>
    </row>
    <row r="39" spans="1:12" ht="202.5" customHeight="1">
      <c r="A39" s="1">
        <v>1</v>
      </c>
      <c r="B39" s="50"/>
      <c r="D39" s="1"/>
      <c r="F39" s="47"/>
      <c r="G39" s="53" t="s">
        <v>208</v>
      </c>
      <c r="I39" s="49" t="s">
        <v>203</v>
      </c>
      <c r="J39" s="49"/>
      <c r="K39" s="1"/>
      <c r="L39" s="12"/>
    </row>
    <row r="40" spans="1:12" ht="134.25" customHeight="1">
      <c r="A40" s="1">
        <v>1</v>
      </c>
      <c r="B40" s="148" t="s">
        <v>209</v>
      </c>
      <c r="C40" t="s">
        <v>133</v>
      </c>
      <c r="D40" s="23" t="s">
        <v>210</v>
      </c>
      <c r="F40" s="47"/>
      <c r="G40" s="53" t="s">
        <v>211</v>
      </c>
      <c r="I40" s="49" t="s">
        <v>212</v>
      </c>
      <c r="J40" s="47" t="s">
        <v>213</v>
      </c>
      <c r="K40" s="1" t="s">
        <v>8</v>
      </c>
      <c r="L40" s="12" t="s">
        <v>214</v>
      </c>
    </row>
    <row r="41" spans="1:12" ht="134.25" customHeight="1">
      <c r="A41" s="1">
        <v>1</v>
      </c>
      <c r="B41" s="148"/>
      <c r="D41" s="23"/>
      <c r="F41" s="47"/>
      <c r="G41" s="53" t="s">
        <v>215</v>
      </c>
      <c r="I41" s="49"/>
      <c r="J41" s="47"/>
      <c r="K41" s="1"/>
      <c r="L41" s="12"/>
    </row>
    <row r="42" spans="1:12" ht="134.25" customHeight="1">
      <c r="A42" s="1">
        <v>1</v>
      </c>
      <c r="B42" s="148"/>
      <c r="D42" s="23"/>
      <c r="F42" s="47"/>
      <c r="G42" s="53" t="s">
        <v>216</v>
      </c>
      <c r="I42" s="49"/>
      <c r="J42" s="47"/>
      <c r="K42" s="1"/>
      <c r="L42" s="12"/>
    </row>
    <row r="43" spans="1:12" ht="134.25" customHeight="1">
      <c r="A43" s="1">
        <v>1</v>
      </c>
      <c r="B43" s="148"/>
      <c r="D43" s="23"/>
      <c r="F43" s="47"/>
      <c r="G43" s="53" t="s">
        <v>217</v>
      </c>
      <c r="I43" s="49"/>
      <c r="J43" s="47"/>
      <c r="K43" s="1"/>
      <c r="L43" s="12"/>
    </row>
    <row r="44" spans="1:12" ht="137.25" customHeight="1">
      <c r="A44" s="1">
        <v>1</v>
      </c>
      <c r="B44" s="51" t="s">
        <v>218</v>
      </c>
      <c r="C44" t="s">
        <v>133</v>
      </c>
      <c r="D44" s="23" t="s">
        <v>219</v>
      </c>
      <c r="F44" s="47"/>
      <c r="G44" s="53" t="s">
        <v>220</v>
      </c>
      <c r="I44" s="49" t="s">
        <v>221</v>
      </c>
      <c r="J44" s="47" t="s">
        <v>222</v>
      </c>
      <c r="K44" s="1" t="s">
        <v>8</v>
      </c>
      <c r="L44" s="12" t="s">
        <v>223</v>
      </c>
    </row>
    <row r="45" spans="1:12" ht="216" customHeight="1">
      <c r="A45" s="1">
        <v>1</v>
      </c>
      <c r="B45" s="51" t="s">
        <v>224</v>
      </c>
      <c r="C45" t="s">
        <v>133</v>
      </c>
      <c r="D45" s="21" t="s">
        <v>225</v>
      </c>
      <c r="F45" s="47"/>
      <c r="G45" s="53" t="s">
        <v>226</v>
      </c>
      <c r="I45" s="47" t="s">
        <v>227</v>
      </c>
      <c r="J45" s="47" t="s">
        <v>228</v>
      </c>
      <c r="K45" s="1" t="s">
        <v>8</v>
      </c>
      <c r="L45" s="12" t="s">
        <v>229</v>
      </c>
    </row>
    <row r="46" spans="1:12" ht="56.25" customHeight="1">
      <c r="A46" s="1">
        <v>1</v>
      </c>
      <c r="B46" s="51"/>
      <c r="D46" s="21"/>
      <c r="F46" s="47"/>
      <c r="G46" s="53" t="s">
        <v>230</v>
      </c>
      <c r="I46" s="47"/>
      <c r="J46" s="47"/>
      <c r="K46" s="1"/>
      <c r="L46" s="12"/>
    </row>
    <row r="47" spans="1:12" ht="42.75" customHeight="1">
      <c r="A47" s="1">
        <v>1</v>
      </c>
      <c r="B47" s="51"/>
      <c r="D47" s="21"/>
      <c r="F47" s="47"/>
      <c r="G47" s="53" t="s">
        <v>231</v>
      </c>
      <c r="I47" s="47"/>
      <c r="J47" s="47"/>
      <c r="K47" s="1"/>
      <c r="L47" s="12"/>
    </row>
    <row r="48" spans="1:12" ht="48.75" customHeight="1">
      <c r="A48" s="1">
        <v>1</v>
      </c>
      <c r="B48" s="51"/>
      <c r="D48" s="21"/>
      <c r="F48" s="47"/>
      <c r="G48" s="53" t="s">
        <v>232</v>
      </c>
      <c r="I48" s="47"/>
      <c r="J48" s="47"/>
      <c r="K48" s="1"/>
      <c r="L48" s="12"/>
    </row>
    <row r="49" spans="1:12" ht="33" customHeight="1">
      <c r="A49" s="1">
        <v>1</v>
      </c>
      <c r="B49" s="51"/>
      <c r="D49" s="21"/>
      <c r="F49" s="47"/>
      <c r="G49" s="53" t="s">
        <v>233</v>
      </c>
      <c r="I49" s="47"/>
      <c r="J49" s="47"/>
      <c r="K49" s="1"/>
      <c r="L49" s="12"/>
    </row>
    <row r="50" spans="1:12" ht="30.75" customHeight="1">
      <c r="A50" s="1">
        <v>1</v>
      </c>
      <c r="B50" s="51"/>
      <c r="D50" s="21"/>
      <c r="F50" s="47"/>
      <c r="G50" s="53" t="s">
        <v>234</v>
      </c>
      <c r="I50" s="47"/>
      <c r="J50" s="47"/>
      <c r="K50" s="1"/>
      <c r="L50" s="12"/>
    </row>
    <row r="51" spans="1:12" ht="37.5" customHeight="1">
      <c r="A51" s="1">
        <v>1</v>
      </c>
      <c r="B51" s="51"/>
      <c r="D51" s="21"/>
      <c r="F51" s="47"/>
      <c r="G51" s="53" t="s">
        <v>235</v>
      </c>
      <c r="I51" s="47"/>
      <c r="J51" s="47"/>
      <c r="K51" s="1"/>
      <c r="L51" s="12"/>
    </row>
    <row r="52" spans="1:12" ht="37.5" customHeight="1">
      <c r="A52" s="1">
        <v>1</v>
      </c>
      <c r="B52" s="51"/>
      <c r="D52" s="21"/>
      <c r="F52" s="47"/>
      <c r="G52" s="53" t="s">
        <v>236</v>
      </c>
      <c r="I52" s="47"/>
      <c r="J52" s="47"/>
      <c r="K52" s="1"/>
      <c r="L52" s="12"/>
    </row>
    <row r="53" spans="1:12" ht="221.25" customHeight="1">
      <c r="A53" s="1">
        <v>1</v>
      </c>
      <c r="B53" s="56" t="s">
        <v>237</v>
      </c>
      <c r="C53" t="s">
        <v>133</v>
      </c>
      <c r="F53" s="47"/>
      <c r="G53" s="53" t="s">
        <v>238</v>
      </c>
      <c r="I53" s="47" t="s">
        <v>239</v>
      </c>
      <c r="J53" s="49" t="s">
        <v>240</v>
      </c>
      <c r="K53" s="1" t="s">
        <v>2</v>
      </c>
      <c r="L53" s="12" t="s">
        <v>241</v>
      </c>
    </row>
    <row r="54" spans="1:12" ht="57.75" customHeight="1">
      <c r="A54" s="1">
        <v>1</v>
      </c>
      <c r="B54" s="56"/>
      <c r="F54" s="47"/>
      <c r="G54" s="53" t="s">
        <v>242</v>
      </c>
      <c r="I54" s="47"/>
      <c r="J54" s="49"/>
      <c r="K54" s="1"/>
      <c r="L54" s="12"/>
    </row>
    <row r="55" spans="1:12" ht="68.25" customHeight="1">
      <c r="A55" s="1">
        <v>1</v>
      </c>
      <c r="B55" s="56"/>
      <c r="F55" s="47"/>
      <c r="G55" s="53" t="s">
        <v>243</v>
      </c>
      <c r="I55" s="47"/>
      <c r="J55" s="49"/>
      <c r="K55" s="1"/>
      <c r="L55" s="12"/>
    </row>
    <row r="56" spans="1:12" ht="61.5" customHeight="1">
      <c r="A56" s="1">
        <v>1</v>
      </c>
      <c r="B56" s="56"/>
      <c r="F56" s="47"/>
      <c r="G56" s="53" t="s">
        <v>244</v>
      </c>
      <c r="I56" s="47"/>
      <c r="J56" s="49"/>
      <c r="K56" s="1"/>
      <c r="L56" s="12"/>
    </row>
    <row r="57" spans="1:12" ht="63.75" customHeight="1">
      <c r="A57" s="1">
        <v>1</v>
      </c>
      <c r="B57" s="56"/>
      <c r="F57" s="47"/>
      <c r="G57" s="53" t="s">
        <v>245</v>
      </c>
      <c r="I57" s="47"/>
      <c r="J57" s="49"/>
      <c r="K57" s="1"/>
      <c r="L57" s="12"/>
    </row>
    <row r="58" spans="1:12" ht="150" customHeight="1">
      <c r="A58" s="1">
        <v>1</v>
      </c>
      <c r="B58" s="149" t="s">
        <v>246</v>
      </c>
      <c r="C58" t="s">
        <v>133</v>
      </c>
      <c r="F58" s="47"/>
      <c r="G58" s="53" t="s">
        <v>247</v>
      </c>
      <c r="I58" s="47"/>
      <c r="J58" s="49" t="s">
        <v>139</v>
      </c>
      <c r="K58" s="1" t="s">
        <v>2</v>
      </c>
      <c r="L58" s="12" t="s">
        <v>248</v>
      </c>
    </row>
    <row r="59" spans="1:12" ht="57.75" customHeight="1">
      <c r="A59" s="1">
        <v>1</v>
      </c>
      <c r="B59" s="149"/>
      <c r="F59" s="47"/>
      <c r="G59" s="53" t="s">
        <v>249</v>
      </c>
      <c r="I59" s="47"/>
      <c r="J59" s="49"/>
      <c r="K59" s="1"/>
      <c r="L59" s="12"/>
    </row>
    <row r="60" spans="1:12" ht="150" customHeight="1">
      <c r="A60" s="1">
        <v>1</v>
      </c>
      <c r="B60" s="149"/>
      <c r="F60" s="47"/>
      <c r="G60" s="53" t="s">
        <v>250</v>
      </c>
      <c r="I60" s="47" t="s">
        <v>251</v>
      </c>
      <c r="J60" s="49"/>
      <c r="K60" s="1"/>
      <c r="L60" s="12"/>
    </row>
    <row r="61" spans="1:12" ht="150" customHeight="1">
      <c r="A61" s="1">
        <v>1</v>
      </c>
      <c r="B61" s="149"/>
      <c r="F61" s="47"/>
      <c r="G61" s="53"/>
      <c r="I61" s="47"/>
      <c r="J61" s="49"/>
      <c r="K61" s="1"/>
      <c r="L61" s="12"/>
    </row>
    <row r="62" spans="1:12" ht="189" customHeight="1">
      <c r="A62" s="1">
        <v>1</v>
      </c>
      <c r="B62" s="144" t="s">
        <v>252</v>
      </c>
      <c r="C62" t="s">
        <v>133</v>
      </c>
      <c r="F62" s="49" t="s">
        <v>253</v>
      </c>
      <c r="G62" s="53" t="s">
        <v>254</v>
      </c>
      <c r="I62" s="49" t="s">
        <v>255</v>
      </c>
      <c r="J62" s="49" t="s">
        <v>256</v>
      </c>
      <c r="K62" s="1" t="s">
        <v>2</v>
      </c>
      <c r="L62" s="12" t="s">
        <v>257</v>
      </c>
    </row>
    <row r="63" spans="1:12" ht="189" customHeight="1">
      <c r="A63" s="1">
        <v>1</v>
      </c>
      <c r="B63" s="144"/>
      <c r="F63" s="49"/>
      <c r="G63" s="53" t="s">
        <v>258</v>
      </c>
      <c r="I63" s="49"/>
      <c r="J63" s="49"/>
      <c r="K63" s="1"/>
      <c r="L63" s="12"/>
    </row>
    <row r="64" spans="1:12" ht="189" customHeight="1">
      <c r="A64" s="1">
        <v>1</v>
      </c>
      <c r="B64" s="144"/>
      <c r="F64" s="49"/>
      <c r="G64" s="53" t="s">
        <v>259</v>
      </c>
      <c r="I64" s="49"/>
      <c r="J64" s="49"/>
      <c r="K64" s="1"/>
      <c r="L64" s="12"/>
    </row>
    <row r="65" spans="1:12" ht="189" customHeight="1">
      <c r="A65" s="1">
        <v>1</v>
      </c>
      <c r="B65" s="144"/>
      <c r="F65" s="49"/>
      <c r="G65" s="53" t="s">
        <v>260</v>
      </c>
      <c r="I65" s="49" t="s">
        <v>255</v>
      </c>
      <c r="J65" s="49"/>
      <c r="K65" s="1"/>
      <c r="L65" s="12"/>
    </row>
    <row r="66" spans="1:12" ht="87.75" customHeight="1">
      <c r="A66" s="1">
        <v>1</v>
      </c>
      <c r="B66" s="148" t="s">
        <v>261</v>
      </c>
      <c r="C66" t="s">
        <v>133</v>
      </c>
      <c r="F66" s="49"/>
      <c r="G66" s="53" t="s">
        <v>262</v>
      </c>
      <c r="I66" s="49"/>
      <c r="J66" s="49" t="s">
        <v>139</v>
      </c>
      <c r="K66" s="1" t="s">
        <v>2</v>
      </c>
      <c r="L66" s="12" t="s">
        <v>263</v>
      </c>
    </row>
    <row r="67" spans="1:12" ht="87.75" customHeight="1">
      <c r="A67" s="1">
        <v>1</v>
      </c>
      <c r="B67" s="148"/>
      <c r="F67" s="49"/>
      <c r="G67" s="53" t="s">
        <v>264</v>
      </c>
      <c r="I67" s="49" t="s">
        <v>265</v>
      </c>
      <c r="J67" s="49"/>
      <c r="K67" s="1"/>
      <c r="L67" s="12"/>
    </row>
    <row r="68" spans="1:12" ht="161.25" customHeight="1">
      <c r="A68" s="1">
        <v>1</v>
      </c>
      <c r="B68" s="150" t="s">
        <v>266</v>
      </c>
      <c r="C68" t="s">
        <v>133</v>
      </c>
      <c r="F68" s="49"/>
      <c r="G68" s="53" t="s">
        <v>267</v>
      </c>
      <c r="I68" s="47"/>
      <c r="J68" s="49" t="s">
        <v>190</v>
      </c>
      <c r="K68" s="1" t="s">
        <v>2</v>
      </c>
      <c r="L68" s="12" t="s">
        <v>191</v>
      </c>
    </row>
    <row r="69" spans="1:12" ht="161.25" customHeight="1">
      <c r="A69" s="1">
        <v>1</v>
      </c>
      <c r="B69" s="150"/>
      <c r="F69" s="49"/>
      <c r="G69" s="53" t="s">
        <v>268</v>
      </c>
      <c r="I69" s="47"/>
      <c r="J69" s="49"/>
      <c r="K69" s="1"/>
      <c r="L69" s="12"/>
    </row>
    <row r="70" spans="1:12" ht="161.25" customHeight="1">
      <c r="A70" s="1">
        <v>1</v>
      </c>
      <c r="B70" s="150"/>
      <c r="F70" s="49"/>
      <c r="G70" s="53" t="s">
        <v>269</v>
      </c>
      <c r="I70" s="47" t="s">
        <v>189</v>
      </c>
      <c r="J70" s="49"/>
      <c r="K70" s="1"/>
      <c r="L70" s="12"/>
    </row>
    <row r="71" spans="1:12" ht="114" customHeight="1">
      <c r="A71" s="1">
        <v>1</v>
      </c>
      <c r="B71" s="50" t="s">
        <v>270</v>
      </c>
      <c r="C71" t="s">
        <v>133</v>
      </c>
      <c r="D71" t="s">
        <v>271</v>
      </c>
      <c r="F71" s="49" t="s">
        <v>272</v>
      </c>
      <c r="G71" s="53" t="s">
        <v>273</v>
      </c>
      <c r="I71" s="49" t="s">
        <v>274</v>
      </c>
      <c r="J71" s="49" t="s">
        <v>275</v>
      </c>
      <c r="K71" s="1" t="s">
        <v>2</v>
      </c>
      <c r="L71" s="12" t="s">
        <v>276</v>
      </c>
    </row>
    <row r="72" spans="1:12" ht="60" customHeight="1">
      <c r="A72" s="1">
        <v>1</v>
      </c>
      <c r="B72" s="50"/>
      <c r="F72" s="49"/>
      <c r="G72" s="53" t="s">
        <v>277</v>
      </c>
      <c r="I72" s="49"/>
      <c r="J72" s="49"/>
      <c r="K72" s="1"/>
      <c r="L72" s="12"/>
    </row>
    <row r="73" spans="1:12" ht="60" customHeight="1">
      <c r="A73" s="1">
        <v>1</v>
      </c>
      <c r="B73" s="50"/>
      <c r="F73" s="49"/>
      <c r="G73" s="53" t="s">
        <v>278</v>
      </c>
      <c r="I73" s="49"/>
      <c r="J73" s="49"/>
      <c r="K73" s="1"/>
      <c r="L73" s="12"/>
    </row>
    <row r="74" spans="1:12" ht="61.5" customHeight="1">
      <c r="A74" s="1">
        <v>1</v>
      </c>
      <c r="B74" s="50"/>
      <c r="F74" s="49"/>
      <c r="G74" s="53" t="s">
        <v>279</v>
      </c>
      <c r="I74" s="49"/>
      <c r="J74" s="49"/>
      <c r="K74" s="1"/>
      <c r="L74" s="12"/>
    </row>
    <row r="75" spans="1:12" ht="56.25" customHeight="1">
      <c r="A75" s="1">
        <v>1</v>
      </c>
      <c r="B75" s="50"/>
      <c r="F75" s="49"/>
      <c r="G75" s="53" t="s">
        <v>280</v>
      </c>
      <c r="I75" s="49" t="s">
        <v>274</v>
      </c>
      <c r="J75" s="49"/>
      <c r="K75" s="1"/>
      <c r="L75" s="12"/>
    </row>
    <row r="76" spans="1:12" ht="85.5" customHeight="1">
      <c r="A76" s="1">
        <v>1</v>
      </c>
      <c r="B76" s="148" t="s">
        <v>281</v>
      </c>
      <c r="C76" t="s">
        <v>133</v>
      </c>
      <c r="D76" t="s">
        <v>271</v>
      </c>
      <c r="F76" s="47"/>
      <c r="G76" s="53" t="s">
        <v>282</v>
      </c>
      <c r="I76" s="47"/>
      <c r="J76" s="49" t="s">
        <v>283</v>
      </c>
      <c r="K76" s="1" t="s">
        <v>2</v>
      </c>
      <c r="L76" s="12" t="s">
        <v>284</v>
      </c>
    </row>
    <row r="77" spans="1:12" ht="53.25" customHeight="1">
      <c r="A77" s="1">
        <v>1</v>
      </c>
      <c r="B77" s="148"/>
      <c r="F77" s="47"/>
      <c r="G77" s="53" t="s">
        <v>285</v>
      </c>
      <c r="I77" s="47"/>
      <c r="J77" s="49"/>
      <c r="K77" s="1"/>
      <c r="L77" s="12"/>
    </row>
    <row r="78" spans="1:12" ht="53.25" customHeight="1">
      <c r="A78" s="1">
        <v>1</v>
      </c>
      <c r="B78" s="148"/>
      <c r="F78" s="47"/>
      <c r="G78" s="53" t="s">
        <v>286</v>
      </c>
      <c r="I78" s="47"/>
      <c r="J78" s="49"/>
      <c r="K78" s="1"/>
      <c r="L78" s="12"/>
    </row>
    <row r="79" spans="1:12" ht="42.75" customHeight="1">
      <c r="A79" s="1">
        <v>1</v>
      </c>
      <c r="B79" s="148"/>
      <c r="F79" s="47"/>
      <c r="G79" s="53" t="s">
        <v>287</v>
      </c>
      <c r="I79" s="47" t="s">
        <v>288</v>
      </c>
      <c r="J79" s="49"/>
      <c r="K79" s="1"/>
      <c r="L79" s="12"/>
    </row>
    <row r="80" spans="1:12" ht="115.5" customHeight="1">
      <c r="A80" s="1">
        <v>1</v>
      </c>
      <c r="B80" s="148" t="s">
        <v>289</v>
      </c>
      <c r="C80" t="s">
        <v>133</v>
      </c>
      <c r="F80" s="47"/>
      <c r="G80" s="53" t="s">
        <v>290</v>
      </c>
      <c r="I80" s="49"/>
      <c r="J80" s="49" t="s">
        <v>291</v>
      </c>
      <c r="K80" s="1" t="s">
        <v>2</v>
      </c>
      <c r="L80" s="12" t="s">
        <v>292</v>
      </c>
    </row>
    <row r="81" spans="1:12" ht="56.25" customHeight="1">
      <c r="A81" s="1">
        <v>1</v>
      </c>
      <c r="B81" s="148"/>
      <c r="F81" s="47"/>
      <c r="G81" s="53" t="s">
        <v>293</v>
      </c>
      <c r="I81" s="49"/>
      <c r="J81" s="49"/>
      <c r="K81" s="1"/>
      <c r="L81" s="12"/>
    </row>
    <row r="82" spans="1:12" ht="51" customHeight="1">
      <c r="A82" s="1">
        <v>1</v>
      </c>
      <c r="B82" s="148"/>
      <c r="F82" s="47"/>
      <c r="G82" s="53" t="s">
        <v>294</v>
      </c>
      <c r="I82" s="49"/>
      <c r="J82" s="49"/>
      <c r="K82" s="1"/>
      <c r="L82" s="12"/>
    </row>
    <row r="83" spans="1:12" ht="65.25" customHeight="1">
      <c r="A83" s="1">
        <v>1</v>
      </c>
      <c r="B83" s="148"/>
      <c r="F83" s="47"/>
      <c r="G83" s="53" t="s">
        <v>295</v>
      </c>
      <c r="I83" s="49"/>
      <c r="J83" s="49"/>
      <c r="K83" s="1"/>
      <c r="L83" s="12"/>
    </row>
    <row r="84" spans="1:12" ht="46.5" customHeight="1">
      <c r="A84" s="1">
        <v>1</v>
      </c>
      <c r="B84" s="148"/>
      <c r="F84" s="47"/>
      <c r="G84" s="53" t="s">
        <v>296</v>
      </c>
      <c r="I84" s="49"/>
      <c r="J84" s="49"/>
      <c r="K84" s="1"/>
      <c r="L84" s="12"/>
    </row>
    <row r="85" spans="1:12" ht="46.5" customHeight="1">
      <c r="A85" s="1">
        <v>1</v>
      </c>
      <c r="B85" s="148"/>
      <c r="F85" s="47"/>
      <c r="G85" s="53" t="s">
        <v>297</v>
      </c>
      <c r="I85" s="49" t="s">
        <v>298</v>
      </c>
      <c r="J85" s="49"/>
      <c r="K85" s="1"/>
      <c r="L85" s="12"/>
    </row>
    <row r="86" spans="1:12" ht="121.5" customHeight="1">
      <c r="A86" s="1">
        <v>1</v>
      </c>
      <c r="B86" s="50" t="s">
        <v>299</v>
      </c>
      <c r="C86" t="s">
        <v>133</v>
      </c>
      <c r="D86" t="s">
        <v>300</v>
      </c>
      <c r="F86" s="47"/>
      <c r="G86" s="53" t="s">
        <v>301</v>
      </c>
      <c r="I86" s="49" t="s">
        <v>302</v>
      </c>
      <c r="J86" s="49" t="s">
        <v>303</v>
      </c>
      <c r="K86" s="1" t="s">
        <v>2</v>
      </c>
      <c r="L86" s="12" t="s">
        <v>304</v>
      </c>
    </row>
    <row r="87" spans="1:12" ht="209.25" customHeight="1">
      <c r="A87" s="1">
        <v>1</v>
      </c>
      <c r="B87" s="50" t="s">
        <v>305</v>
      </c>
      <c r="C87" t="s">
        <v>133</v>
      </c>
      <c r="F87" s="47"/>
      <c r="G87" s="53" t="s">
        <v>306</v>
      </c>
      <c r="I87" s="47" t="s">
        <v>307</v>
      </c>
      <c r="J87" s="47" t="s">
        <v>308</v>
      </c>
      <c r="K87" s="1" t="s">
        <v>2</v>
      </c>
      <c r="L87" s="12" t="s">
        <v>309</v>
      </c>
    </row>
    <row r="88" spans="1:12" ht="105" customHeight="1">
      <c r="A88" s="1">
        <v>1</v>
      </c>
      <c r="B88" s="148" t="s">
        <v>310</v>
      </c>
      <c r="C88" t="s">
        <v>133</v>
      </c>
      <c r="F88" s="49" t="s">
        <v>311</v>
      </c>
      <c r="G88" s="53" t="s">
        <v>312</v>
      </c>
      <c r="I88" s="47"/>
      <c r="J88" s="49" t="s">
        <v>313</v>
      </c>
      <c r="K88" s="1" t="s">
        <v>2</v>
      </c>
      <c r="L88" s="12" t="s">
        <v>314</v>
      </c>
    </row>
    <row r="89" spans="1:12" ht="63" customHeight="1">
      <c r="A89" s="1">
        <v>1</v>
      </c>
      <c r="B89" s="148"/>
      <c r="F89" s="49"/>
      <c r="G89" s="53" t="s">
        <v>315</v>
      </c>
      <c r="I89" s="47"/>
      <c r="J89" s="49"/>
      <c r="K89" s="1"/>
      <c r="L89" s="12"/>
    </row>
    <row r="90" spans="1:12" ht="87.75" customHeight="1">
      <c r="A90" s="1">
        <v>1</v>
      </c>
      <c r="B90" s="148"/>
      <c r="F90" s="49"/>
      <c r="G90" s="53" t="s">
        <v>316</v>
      </c>
      <c r="I90" s="47"/>
      <c r="J90" s="49"/>
      <c r="K90" s="1"/>
      <c r="L90" s="12"/>
    </row>
    <row r="91" spans="1:12" ht="87.75" customHeight="1">
      <c r="A91" s="1">
        <v>1</v>
      </c>
      <c r="B91" s="148"/>
      <c r="F91" s="49"/>
      <c r="G91" s="53" t="s">
        <v>317</v>
      </c>
      <c r="I91" s="47" t="s">
        <v>318</v>
      </c>
      <c r="J91" s="49"/>
      <c r="K91" s="1"/>
      <c r="L91" s="12"/>
    </row>
    <row r="92" spans="1:12" ht="90" customHeight="1">
      <c r="A92" s="1">
        <v>1</v>
      </c>
      <c r="B92" s="51" t="s">
        <v>319</v>
      </c>
      <c r="C92" t="s">
        <v>133</v>
      </c>
      <c r="D92" s="1"/>
      <c r="F92" s="47"/>
      <c r="G92" s="54" t="s">
        <v>320</v>
      </c>
      <c r="I92" s="49"/>
      <c r="J92" s="49" t="s">
        <v>321</v>
      </c>
      <c r="K92" s="1" t="s">
        <v>2</v>
      </c>
      <c r="L92" s="12" t="s">
        <v>322</v>
      </c>
    </row>
    <row r="93" spans="1:12" ht="90" customHeight="1">
      <c r="A93" s="1">
        <v>1</v>
      </c>
      <c r="B93" s="51"/>
      <c r="D93" s="1"/>
      <c r="F93" s="47"/>
      <c r="G93" s="54" t="s">
        <v>323</v>
      </c>
      <c r="I93" s="49" t="s">
        <v>324</v>
      </c>
      <c r="J93" s="49"/>
      <c r="K93" s="1"/>
      <c r="L93" s="12"/>
    </row>
    <row r="94" spans="1:12" ht="76.5" customHeight="1">
      <c r="A94" s="1">
        <v>1</v>
      </c>
      <c r="B94" s="50" t="s">
        <v>325</v>
      </c>
      <c r="C94" t="s">
        <v>133</v>
      </c>
      <c r="D94" s="1" t="s">
        <v>326</v>
      </c>
      <c r="F94" s="47"/>
      <c r="G94" s="54" t="s">
        <v>327</v>
      </c>
      <c r="I94" s="47"/>
      <c r="J94" s="49" t="s">
        <v>328</v>
      </c>
      <c r="K94" s="1" t="s">
        <v>2</v>
      </c>
      <c r="L94" s="12" t="s">
        <v>329</v>
      </c>
    </row>
    <row r="95" spans="1:12" ht="76.5" customHeight="1">
      <c r="A95" s="1">
        <v>1</v>
      </c>
      <c r="B95" s="50"/>
      <c r="D95" s="1"/>
      <c r="F95" s="47"/>
      <c r="G95" s="54" t="s">
        <v>330</v>
      </c>
      <c r="I95" s="47" t="s">
        <v>331</v>
      </c>
      <c r="J95" s="49"/>
      <c r="K95" s="1"/>
      <c r="L95" s="12"/>
    </row>
    <row r="96" spans="1:12" ht="73.5" customHeight="1">
      <c r="A96" s="1">
        <v>1</v>
      </c>
      <c r="B96" s="51" t="s">
        <v>332</v>
      </c>
      <c r="C96" t="s">
        <v>133</v>
      </c>
      <c r="F96" s="47"/>
      <c r="G96" s="54" t="s">
        <v>333</v>
      </c>
      <c r="I96" s="47"/>
      <c r="J96" s="47" t="s">
        <v>334</v>
      </c>
      <c r="K96" s="1" t="s">
        <v>2</v>
      </c>
      <c r="L96" s="12" t="s">
        <v>335</v>
      </c>
    </row>
    <row r="97" spans="1:9" ht="60.75">
      <c r="A97" s="1">
        <v>1</v>
      </c>
      <c r="G97" s="3" t="s">
        <v>336</v>
      </c>
      <c r="I97" s="47" t="s">
        <v>337</v>
      </c>
    </row>
    <row r="98" spans="1:9">
      <c r="A98" s="1"/>
      <c r="G98" s="3" t="s">
        <v>338</v>
      </c>
    </row>
    <row r="99" spans="1:9">
      <c r="A99" s="1"/>
    </row>
    <row r="100" spans="1:9">
      <c r="A100" s="1"/>
    </row>
    <row r="101" spans="1:9">
      <c r="A101" s="1"/>
    </row>
    <row r="102" spans="1:9">
      <c r="A102" s="1"/>
    </row>
    <row r="103" spans="1:9">
      <c r="A103" s="1"/>
    </row>
    <row r="104" spans="1:9">
      <c r="A104" s="1"/>
    </row>
    <row r="105" spans="1:9">
      <c r="A105" s="1"/>
    </row>
    <row r="106" spans="1:9">
      <c r="A106" s="1"/>
    </row>
    <row r="107" spans="1:9">
      <c r="A107" s="1"/>
    </row>
    <row r="108" spans="1:9">
      <c r="A108" s="1"/>
    </row>
    <row r="109" spans="1:9">
      <c r="A109" s="1"/>
    </row>
    <row r="110" spans="1:9">
      <c r="A110" s="1"/>
    </row>
    <row r="111" spans="1:9">
      <c r="A111" s="1"/>
    </row>
    <row r="112" spans="1:9">
      <c r="A112" s="1"/>
    </row>
    <row r="113" spans="1:1">
      <c r="A113" s="1"/>
    </row>
    <row r="114" spans="1:1">
      <c r="A114" s="1"/>
    </row>
    <row r="115" spans="1:1">
      <c r="A115" s="1"/>
    </row>
    <row r="116" spans="1:1">
      <c r="A116" s="1"/>
    </row>
    <row r="117" spans="1:1">
      <c r="A117" s="1"/>
    </row>
    <row r="118" spans="1:1">
      <c r="A118" s="1"/>
    </row>
    <row r="119" spans="1:1">
      <c r="A119" s="1"/>
    </row>
    <row r="120" spans="1:1">
      <c r="A120" s="1"/>
    </row>
    <row r="121" spans="1:1">
      <c r="A121" s="1"/>
    </row>
    <row r="122" spans="1:1">
      <c r="A122" s="1"/>
    </row>
    <row r="123" spans="1:1">
      <c r="A123" s="1"/>
    </row>
    <row r="124" spans="1:1">
      <c r="A124" s="1"/>
    </row>
    <row r="125" spans="1:1">
      <c r="A125" s="1"/>
    </row>
    <row r="126" spans="1:1">
      <c r="A126" s="1"/>
    </row>
    <row r="127" spans="1:1">
      <c r="A127" s="1"/>
    </row>
    <row r="128" spans="1:1">
      <c r="A128" s="1"/>
    </row>
    <row r="129" spans="1:1">
      <c r="A129" s="1"/>
    </row>
    <row r="130" spans="1:1">
      <c r="A130" s="1"/>
    </row>
    <row r="131" spans="1:1">
      <c r="A131" s="1"/>
    </row>
    <row r="132" spans="1:1">
      <c r="A132" s="1"/>
    </row>
    <row r="133" spans="1:1">
      <c r="A133" s="1"/>
    </row>
    <row r="134" spans="1:1">
      <c r="A134" s="1"/>
    </row>
    <row r="135" spans="1:1">
      <c r="A135" s="1"/>
    </row>
    <row r="136" spans="1:1">
      <c r="A136" s="1"/>
    </row>
    <row r="137" spans="1:1">
      <c r="A137" s="1"/>
    </row>
    <row r="138" spans="1:1">
      <c r="A138" s="1"/>
    </row>
    <row r="139" spans="1:1">
      <c r="A139" s="1"/>
    </row>
    <row r="140" spans="1:1">
      <c r="A140" s="1"/>
    </row>
    <row r="141" spans="1:1">
      <c r="A141" s="1"/>
    </row>
    <row r="142" spans="1:1">
      <c r="A142" s="1"/>
    </row>
    <row r="143" spans="1:1">
      <c r="A143" s="1"/>
    </row>
    <row r="144" spans="1:1">
      <c r="A144" s="1"/>
    </row>
    <row r="145" spans="1:1">
      <c r="A145" s="1"/>
    </row>
    <row r="146" spans="1:1">
      <c r="A146" s="1"/>
    </row>
    <row r="147" spans="1:1">
      <c r="A147" s="1"/>
    </row>
    <row r="148" spans="1:1">
      <c r="A148" s="1"/>
    </row>
    <row r="149" spans="1:1">
      <c r="A149" s="1"/>
    </row>
    <row r="150" spans="1:1">
      <c r="A150" s="1"/>
    </row>
    <row r="151" spans="1:1">
      <c r="A151" s="1"/>
    </row>
    <row r="152" spans="1:1">
      <c r="A152" s="1"/>
    </row>
    <row r="153" spans="1:1">
      <c r="A153" s="1"/>
    </row>
    <row r="154" spans="1:1">
      <c r="A154" s="1"/>
    </row>
    <row r="155" spans="1:1">
      <c r="A155" s="1"/>
    </row>
    <row r="156" spans="1:1">
      <c r="A156" s="1"/>
    </row>
    <row r="157" spans="1:1">
      <c r="A157" s="1"/>
    </row>
    <row r="158" spans="1:1">
      <c r="A158" s="1"/>
    </row>
    <row r="159" spans="1:1">
      <c r="A159" s="1"/>
    </row>
    <row r="160" spans="1:1">
      <c r="A160" s="1"/>
    </row>
    <row r="161" spans="1:1">
      <c r="A161" s="1"/>
    </row>
    <row r="162" spans="1:1">
      <c r="A162" s="1"/>
    </row>
    <row r="163" spans="1:1">
      <c r="A163" s="1"/>
    </row>
    <row r="164" spans="1:1">
      <c r="A164" s="1"/>
    </row>
    <row r="165" spans="1:1">
      <c r="A165" s="1"/>
    </row>
    <row r="166" spans="1:1">
      <c r="A166" s="1"/>
    </row>
    <row r="167" spans="1:1">
      <c r="A167" s="1"/>
    </row>
    <row r="168" spans="1:1">
      <c r="A168" s="1"/>
    </row>
    <row r="169" spans="1:1">
      <c r="A169" s="1"/>
    </row>
    <row r="170" spans="1:1">
      <c r="A170" s="1"/>
    </row>
    <row r="171" spans="1:1">
      <c r="A171" s="1"/>
    </row>
    <row r="172" spans="1:1">
      <c r="A172" s="1"/>
    </row>
    <row r="173" spans="1:1">
      <c r="A173" s="1"/>
    </row>
    <row r="174" spans="1:1">
      <c r="A174" s="1"/>
    </row>
    <row r="175" spans="1:1">
      <c r="A175" s="1"/>
    </row>
    <row r="176" spans="1:1">
      <c r="A176" s="1"/>
    </row>
    <row r="177" spans="1:1">
      <c r="A177" s="1"/>
    </row>
    <row r="178" spans="1:1">
      <c r="A178" s="1"/>
    </row>
    <row r="179" spans="1:1">
      <c r="A179" s="1"/>
    </row>
    <row r="180" spans="1:1">
      <c r="A180" s="1"/>
    </row>
    <row r="181" spans="1:1">
      <c r="A181" s="1"/>
    </row>
    <row r="182" spans="1:1">
      <c r="A182" s="1"/>
    </row>
    <row r="183" spans="1:1">
      <c r="A183" s="1"/>
    </row>
    <row r="184" spans="1:1">
      <c r="A184" s="1"/>
    </row>
    <row r="185" spans="1:1">
      <c r="A185" s="1"/>
    </row>
    <row r="186" spans="1:1">
      <c r="A186" s="1"/>
    </row>
    <row r="187" spans="1:1">
      <c r="A187" s="1"/>
    </row>
    <row r="188" spans="1:1">
      <c r="A188" s="1"/>
    </row>
    <row r="189" spans="1:1">
      <c r="A189" s="1"/>
    </row>
    <row r="190" spans="1:1">
      <c r="A190" s="1"/>
    </row>
    <row r="191" spans="1:1">
      <c r="A191" s="1"/>
    </row>
    <row r="192" spans="1:1">
      <c r="A192" s="1"/>
    </row>
    <row r="193" spans="1:1">
      <c r="A193" s="1"/>
    </row>
    <row r="194" spans="1:1">
      <c r="A194" s="1"/>
    </row>
    <row r="195" spans="1:1">
      <c r="A195" s="1"/>
    </row>
    <row r="196" spans="1:1">
      <c r="A196" s="1"/>
    </row>
    <row r="197" spans="1:1">
      <c r="A197" s="1"/>
    </row>
    <row r="198" spans="1:1">
      <c r="A198" s="1"/>
    </row>
    <row r="199" spans="1:1">
      <c r="A199" s="1"/>
    </row>
    <row r="200" spans="1:1">
      <c r="A200" s="1"/>
    </row>
    <row r="201" spans="1:1">
      <c r="A201" s="1"/>
    </row>
    <row r="202" spans="1:1">
      <c r="A202" s="1"/>
    </row>
    <row r="203" spans="1:1">
      <c r="A203" s="1"/>
    </row>
    <row r="204" spans="1:1">
      <c r="A204" s="1"/>
    </row>
    <row r="205" spans="1:1">
      <c r="A205" s="1"/>
    </row>
  </sheetData>
  <autoFilter ref="L1:L96" xr:uid="{00000000-0009-0000-0000-000002000000}">
    <filterColumn colId="0">
      <filters>
        <filter val="DOEECMS-1885"/>
        <filter val="DOEECMS-1889"/>
        <filter val="DOEECMS-1896"/>
        <filter val="DOEECMS-1897"/>
        <filter val="https://prutech.atlassian.net/browse/DOEECMS-1913"/>
        <filter val="https://prutech.atlassian.net/browse/DOEECMS-1966"/>
        <filter val="https://prutech.atlassian.net/browse/DOEECMS-1982"/>
        <filter val="https://prutech.atlassian.net/browse/DOEECMS-1983"/>
        <filter val="https://prutech.atlassian.net/browse/DOEECMS-1988"/>
        <filter val="https://prutech.atlassian.net/browse/DOEECMS-1994"/>
        <filter val="https://prutech.atlassian.net/browse/DOEECMS-1995"/>
        <filter val="https://prutech.atlassian.net/browse/DOEECMS-1997"/>
        <filter val="https://prutech.atlassian.net/browse/DOEECMS-1998"/>
        <filter val="https://prutech.atlassian.net/browse/DOEECMS-2007"/>
        <filter val="https://prutech.atlassian.net/browse/DOEECMS-2008"/>
        <filter val="https://prutech.atlassian.net/browse/DOEECMS-2017"/>
        <filter val="https://prutech.atlassian.net/browse/DOEECMS-2018"/>
        <filter val="https://prutech.atlassian.net/browse/DOEECMS-2023"/>
      </filters>
    </filterColumn>
  </autoFilter>
  <mergeCells count="13">
    <mergeCell ref="B76:B79"/>
    <mergeCell ref="B80:B85"/>
    <mergeCell ref="B88:B91"/>
    <mergeCell ref="B40:B43"/>
    <mergeCell ref="B58:B61"/>
    <mergeCell ref="B62:B65"/>
    <mergeCell ref="B66:B67"/>
    <mergeCell ref="B68:B70"/>
    <mergeCell ref="B3:B6"/>
    <mergeCell ref="E18:E21"/>
    <mergeCell ref="D18:D21"/>
    <mergeCell ref="C18:C21"/>
    <mergeCell ref="B32:B33"/>
  </mergeCells>
  <dataValidations count="1">
    <dataValidation type="list" allowBlank="1" showInputMessage="1" showErrorMessage="1" sqref="K3:K96" xr:uid="{00000000-0002-0000-0200-000000000000}">
      <formula1>"In Design, Ready, Reviewed Completed, Pass, Fail, Blocked, No Run"</formula1>
    </dataValidation>
  </dataValidations>
  <hyperlinks>
    <hyperlink ref="L7" r:id="rId1" display="https://prutech.atlassian.net/browse/DOEECMS-1885" xr:uid="{00000000-0004-0000-0200-000000000000}"/>
    <hyperlink ref="L10" r:id="rId2" display="https://prutech.atlassian.net/browse/DOEECMS-1885" xr:uid="{00000000-0004-0000-0200-000001000000}"/>
    <hyperlink ref="L18" r:id="rId3" display="https://prutech.atlassian.net/browse/DOEECMS-1885" xr:uid="{00000000-0004-0000-0200-000002000000}"/>
    <hyperlink ref="L22" r:id="rId4" display="https://prutech.atlassian.net/browse/DOEECMS-1885" xr:uid="{00000000-0004-0000-0200-000003000000}"/>
    <hyperlink ref="L27" r:id="rId5" xr:uid="{00000000-0004-0000-0200-000004000000}"/>
    <hyperlink ref="L32" r:id="rId6" xr:uid="{00000000-0004-0000-0200-000005000000}"/>
    <hyperlink ref="L34" r:id="rId7" xr:uid="{00000000-0004-0000-0200-000006000000}"/>
    <hyperlink ref="L40" r:id="rId8" xr:uid="{00000000-0004-0000-0200-000007000000}"/>
    <hyperlink ref="L44" r:id="rId9" xr:uid="{00000000-0004-0000-0200-000008000000}"/>
    <hyperlink ref="L45" r:id="rId10" xr:uid="{00000000-0004-0000-0200-000009000000}"/>
    <hyperlink ref="L53" r:id="rId11" xr:uid="{00000000-0004-0000-0200-00000C000000}"/>
    <hyperlink ref="L58" r:id="rId12" xr:uid="{00000000-0004-0000-0200-00000D000000}"/>
    <hyperlink ref="L62" r:id="rId13" xr:uid="{00000000-0004-0000-0200-00000F000000}"/>
    <hyperlink ref="L66" r:id="rId14" xr:uid="{00000000-0004-0000-0200-000010000000}"/>
    <hyperlink ref="L68" r:id="rId15" xr:uid="{00000000-0004-0000-0200-000011000000}"/>
    <hyperlink ref="L71" r:id="rId16" xr:uid="{00000000-0004-0000-0200-000012000000}"/>
    <hyperlink ref="L76" r:id="rId17" xr:uid="{00000000-0004-0000-0200-000013000000}"/>
    <hyperlink ref="L80" r:id="rId18" xr:uid="{00000000-0004-0000-0200-000014000000}"/>
    <hyperlink ref="L86" r:id="rId19" xr:uid="{00000000-0004-0000-0200-000015000000}"/>
    <hyperlink ref="L87" r:id="rId20" xr:uid="{00000000-0004-0000-0200-000016000000}"/>
    <hyperlink ref="L88" r:id="rId21" xr:uid="{00000000-0004-0000-0200-000017000000}"/>
    <hyperlink ref="L92" r:id="rId22" xr:uid="{00000000-0004-0000-0200-000018000000}"/>
    <hyperlink ref="L94" r:id="rId23" xr:uid="{00000000-0004-0000-0200-000019000000}"/>
    <hyperlink ref="L96" r:id="rId24" xr:uid="{00000000-0004-0000-0200-00001A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L258"/>
  <sheetViews>
    <sheetView workbookViewId="0">
      <pane ySplit="2" topLeftCell="A131" activePane="bottomLeft" state="frozen"/>
      <selection pane="bottomLeft" activeCell="E112" sqref="E112:E130"/>
    </sheetView>
  </sheetViews>
  <sheetFormatPr defaultRowHeight="15"/>
  <cols>
    <col min="1" max="1" width="12.7109375" style="1" customWidth="1"/>
    <col min="2" max="2" width="16.85546875" style="1" hidden="1" customWidth="1"/>
    <col min="3" max="3" width="22.28515625" style="1" hidden="1" customWidth="1"/>
    <col min="4" max="4" width="19.7109375" style="1" hidden="1" customWidth="1"/>
    <col min="5" max="5" width="73.28515625" style="1" customWidth="1"/>
    <col min="6" max="6" width="43.5703125" style="1" customWidth="1"/>
    <col min="7" max="7" width="61.140625" style="1" customWidth="1"/>
    <col min="8" max="8" width="42.42578125" style="1" hidden="1" customWidth="1"/>
    <col min="9" max="9" width="53.5703125" style="1" customWidth="1"/>
    <col min="10" max="10" width="20.85546875" style="1" customWidth="1"/>
    <col min="11" max="11" width="27.85546875" style="1" hidden="1" customWidth="1"/>
    <col min="12" max="12" width="13" style="1" customWidth="1"/>
    <col min="13" max="13" width="51.7109375" style="1" customWidth="1"/>
    <col min="14" max="14" width="36" style="1" customWidth="1"/>
    <col min="15" max="15" width="28.85546875" style="1" customWidth="1"/>
    <col min="16" max="16" width="9.140625" style="1" customWidth="1"/>
    <col min="17" max="16384" width="9.140625" style="1"/>
  </cols>
  <sheetData>
    <row r="2" spans="1:12" ht="21.75" customHeight="1">
      <c r="A2" s="182" t="s">
        <v>18</v>
      </c>
      <c r="B2" s="182" t="s">
        <v>20</v>
      </c>
      <c r="C2" s="182" t="s">
        <v>128</v>
      </c>
      <c r="D2" s="182" t="s">
        <v>129</v>
      </c>
      <c r="E2" s="182" t="s">
        <v>339</v>
      </c>
      <c r="F2" s="182" t="s">
        <v>21</v>
      </c>
      <c r="G2" s="182" t="s">
        <v>22</v>
      </c>
      <c r="H2" s="182" t="s">
        <v>340</v>
      </c>
      <c r="I2" s="182" t="s">
        <v>24</v>
      </c>
      <c r="J2" s="182" t="s">
        <v>0</v>
      </c>
      <c r="K2" s="182" t="s">
        <v>341</v>
      </c>
      <c r="L2" s="183" t="s">
        <v>131</v>
      </c>
    </row>
    <row r="3" spans="1:12" s="16" customFormat="1" ht="183" customHeight="1">
      <c r="A3" s="184">
        <v>1</v>
      </c>
      <c r="B3" s="184" t="s">
        <v>342</v>
      </c>
      <c r="C3" s="184" t="s">
        <v>343</v>
      </c>
      <c r="D3" s="184" t="s">
        <v>135</v>
      </c>
      <c r="E3" s="185" t="s">
        <v>344</v>
      </c>
      <c r="F3" s="186" t="s">
        <v>345</v>
      </c>
      <c r="G3" s="184" t="s">
        <v>346</v>
      </c>
      <c r="H3" s="184"/>
      <c r="I3" s="184" t="s">
        <v>347</v>
      </c>
      <c r="J3" s="184" t="s">
        <v>348</v>
      </c>
      <c r="K3" s="184"/>
      <c r="L3" s="82" t="s">
        <v>349</v>
      </c>
    </row>
    <row r="4" spans="1:12" ht="36.75" customHeight="1">
      <c r="A4" s="183">
        <v>2</v>
      </c>
      <c r="B4" s="183" t="s">
        <v>342</v>
      </c>
      <c r="C4" s="187" t="s">
        <v>343</v>
      </c>
      <c r="D4" s="187" t="s">
        <v>135</v>
      </c>
      <c r="E4" s="185"/>
      <c r="F4" s="188"/>
      <c r="G4" s="189" t="s">
        <v>350</v>
      </c>
      <c r="H4" s="183"/>
      <c r="I4" s="183" t="s">
        <v>351</v>
      </c>
      <c r="J4" s="184" t="s">
        <v>348</v>
      </c>
      <c r="K4" s="183"/>
      <c r="L4" s="83"/>
    </row>
    <row r="5" spans="1:12" ht="27" customHeight="1">
      <c r="A5" s="183">
        <v>3</v>
      </c>
      <c r="B5" s="183" t="s">
        <v>342</v>
      </c>
      <c r="C5" s="187" t="s">
        <v>343</v>
      </c>
      <c r="D5" s="187" t="s">
        <v>135</v>
      </c>
      <c r="E5" s="185"/>
      <c r="F5" s="188"/>
      <c r="G5" s="189" t="s">
        <v>352</v>
      </c>
      <c r="H5" s="183"/>
      <c r="I5" s="183" t="s">
        <v>353</v>
      </c>
      <c r="J5" s="184" t="s">
        <v>348</v>
      </c>
      <c r="K5" s="183"/>
      <c r="L5" s="83"/>
    </row>
    <row r="6" spans="1:12" ht="27" customHeight="1">
      <c r="A6" s="183">
        <v>4</v>
      </c>
      <c r="B6" s="183" t="s">
        <v>342</v>
      </c>
      <c r="C6" s="187" t="s">
        <v>343</v>
      </c>
      <c r="D6" s="187" t="s">
        <v>135</v>
      </c>
      <c r="E6" s="185"/>
      <c r="F6" s="188"/>
      <c r="G6" s="189" t="s">
        <v>354</v>
      </c>
      <c r="H6" s="183"/>
      <c r="I6" s="183" t="s">
        <v>355</v>
      </c>
      <c r="J6" s="184" t="s">
        <v>348</v>
      </c>
      <c r="K6" s="183"/>
      <c r="L6" s="83"/>
    </row>
    <row r="7" spans="1:12" ht="24.75" customHeight="1">
      <c r="A7" s="183">
        <v>5</v>
      </c>
      <c r="B7" s="183" t="s">
        <v>342</v>
      </c>
      <c r="C7" s="187" t="s">
        <v>343</v>
      </c>
      <c r="D7" s="187" t="s">
        <v>135</v>
      </c>
      <c r="E7" s="185"/>
      <c r="F7" s="188"/>
      <c r="G7" s="189" t="s">
        <v>356</v>
      </c>
      <c r="H7" s="183"/>
      <c r="I7" s="183" t="s">
        <v>357</v>
      </c>
      <c r="J7" s="184" t="s">
        <v>348</v>
      </c>
      <c r="K7" s="183"/>
      <c r="L7" s="83"/>
    </row>
    <row r="8" spans="1:12" ht="140.25" customHeight="1">
      <c r="A8" s="183">
        <v>6</v>
      </c>
      <c r="B8" s="183" t="s">
        <v>342</v>
      </c>
      <c r="C8" s="187" t="s">
        <v>343</v>
      </c>
      <c r="D8" s="187" t="s">
        <v>135</v>
      </c>
      <c r="E8" s="185"/>
      <c r="F8" s="188"/>
      <c r="G8" s="189" t="s">
        <v>358</v>
      </c>
      <c r="H8" s="183"/>
      <c r="I8" s="183" t="s">
        <v>359</v>
      </c>
      <c r="J8" s="184" t="s">
        <v>348</v>
      </c>
      <c r="K8" s="183"/>
      <c r="L8" s="83"/>
    </row>
    <row r="9" spans="1:12" ht="183" customHeight="1">
      <c r="A9" s="183">
        <v>7</v>
      </c>
      <c r="B9" s="183" t="s">
        <v>342</v>
      </c>
      <c r="C9" s="187" t="s">
        <v>343</v>
      </c>
      <c r="D9" s="187" t="s">
        <v>135</v>
      </c>
      <c r="E9" s="190" t="s">
        <v>360</v>
      </c>
      <c r="F9" s="186" t="s">
        <v>361</v>
      </c>
      <c r="G9" s="189" t="s">
        <v>362</v>
      </c>
      <c r="H9" s="183"/>
      <c r="I9" s="183" t="s">
        <v>363</v>
      </c>
      <c r="J9" s="184" t="s">
        <v>348</v>
      </c>
      <c r="K9" s="183"/>
      <c r="L9" s="83"/>
    </row>
    <row r="10" spans="1:12" ht="15" customHeight="1">
      <c r="A10" s="183">
        <v>8</v>
      </c>
      <c r="B10" s="183" t="s">
        <v>342</v>
      </c>
      <c r="C10" s="187" t="s">
        <v>343</v>
      </c>
      <c r="D10" s="187" t="s">
        <v>135</v>
      </c>
      <c r="E10" s="188"/>
      <c r="F10" s="188"/>
      <c r="G10" s="189" t="s">
        <v>350</v>
      </c>
      <c r="H10" s="183"/>
      <c r="I10" s="80" t="s">
        <v>364</v>
      </c>
      <c r="J10" s="184" t="s">
        <v>348</v>
      </c>
      <c r="K10" s="183"/>
      <c r="L10" s="183"/>
    </row>
    <row r="11" spans="1:12">
      <c r="A11" s="183">
        <v>9</v>
      </c>
      <c r="B11" s="183" t="s">
        <v>342</v>
      </c>
      <c r="C11" s="187" t="s">
        <v>343</v>
      </c>
      <c r="D11" s="187" t="s">
        <v>135</v>
      </c>
      <c r="E11" s="188"/>
      <c r="F11" s="188"/>
      <c r="G11" s="189" t="s">
        <v>352</v>
      </c>
      <c r="H11" s="183"/>
      <c r="I11" s="80" t="s">
        <v>365</v>
      </c>
      <c r="J11" s="184" t="s">
        <v>348</v>
      </c>
      <c r="K11" s="183"/>
      <c r="L11" s="183"/>
    </row>
    <row r="12" spans="1:12">
      <c r="A12" s="183">
        <v>10</v>
      </c>
      <c r="B12" s="183" t="s">
        <v>342</v>
      </c>
      <c r="C12" s="187" t="s">
        <v>343</v>
      </c>
      <c r="D12" s="187" t="s">
        <v>135</v>
      </c>
      <c r="E12" s="188"/>
      <c r="F12" s="188"/>
      <c r="G12" s="189" t="s">
        <v>354</v>
      </c>
      <c r="H12" s="183"/>
      <c r="I12" s="80" t="s">
        <v>366</v>
      </c>
      <c r="J12" s="184" t="s">
        <v>348</v>
      </c>
      <c r="K12" s="183"/>
      <c r="L12" s="183"/>
    </row>
    <row r="13" spans="1:12">
      <c r="A13" s="183">
        <v>11</v>
      </c>
      <c r="B13" s="183" t="s">
        <v>342</v>
      </c>
      <c r="C13" s="187" t="s">
        <v>343</v>
      </c>
      <c r="D13" s="187" t="s">
        <v>135</v>
      </c>
      <c r="E13" s="188"/>
      <c r="F13" s="188"/>
      <c r="G13" s="189" t="s">
        <v>356</v>
      </c>
      <c r="H13" s="183"/>
      <c r="I13" s="80" t="s">
        <v>367</v>
      </c>
      <c r="J13" s="184" t="s">
        <v>348</v>
      </c>
      <c r="K13" s="183"/>
      <c r="L13" s="183"/>
    </row>
    <row r="14" spans="1:12" ht="15" customHeight="1">
      <c r="A14" s="183">
        <v>12</v>
      </c>
      <c r="B14" s="183" t="s">
        <v>342</v>
      </c>
      <c r="C14" s="187" t="s">
        <v>343</v>
      </c>
      <c r="D14" s="187" t="s">
        <v>135</v>
      </c>
      <c r="E14" s="188"/>
      <c r="F14" s="188"/>
      <c r="G14" s="189" t="s">
        <v>358</v>
      </c>
      <c r="H14" s="183"/>
      <c r="I14" s="80" t="s">
        <v>368</v>
      </c>
      <c r="J14" s="184" t="s">
        <v>348</v>
      </c>
      <c r="K14" s="183"/>
      <c r="L14" s="183"/>
    </row>
    <row r="15" spans="1:12" ht="60.75" customHeight="1">
      <c r="A15" s="183">
        <v>13</v>
      </c>
      <c r="B15" s="183" t="s">
        <v>342</v>
      </c>
      <c r="C15" s="187" t="s">
        <v>343</v>
      </c>
      <c r="D15" s="187" t="s">
        <v>135</v>
      </c>
      <c r="E15" s="191" t="s">
        <v>369</v>
      </c>
      <c r="F15" s="183"/>
      <c r="G15" s="183" t="s">
        <v>370</v>
      </c>
      <c r="H15" s="183"/>
      <c r="I15" s="80" t="s">
        <v>371</v>
      </c>
      <c r="J15" s="184" t="s">
        <v>348</v>
      </c>
      <c r="K15" s="183"/>
      <c r="L15" s="83" t="s">
        <v>372</v>
      </c>
    </row>
    <row r="16" spans="1:12">
      <c r="A16" s="183">
        <v>14</v>
      </c>
      <c r="B16" s="183" t="s">
        <v>342</v>
      </c>
      <c r="C16" s="187" t="s">
        <v>343</v>
      </c>
      <c r="D16" s="187" t="s">
        <v>135</v>
      </c>
      <c r="E16" s="188"/>
      <c r="F16" s="183"/>
      <c r="G16" s="183" t="s">
        <v>373</v>
      </c>
      <c r="H16" s="183"/>
      <c r="I16" s="80" t="s">
        <v>374</v>
      </c>
      <c r="J16" s="184" t="s">
        <v>348</v>
      </c>
      <c r="K16" s="183"/>
      <c r="L16" s="83"/>
    </row>
    <row r="17" spans="1:12">
      <c r="A17" s="183">
        <v>15</v>
      </c>
      <c r="B17" s="183" t="s">
        <v>342</v>
      </c>
      <c r="C17" s="187" t="s">
        <v>343</v>
      </c>
      <c r="D17" s="187" t="s">
        <v>135</v>
      </c>
      <c r="E17" s="188"/>
      <c r="F17" s="183"/>
      <c r="G17" s="183" t="s">
        <v>375</v>
      </c>
      <c r="H17" s="183"/>
      <c r="I17" s="80" t="s">
        <v>376</v>
      </c>
      <c r="J17" s="184" t="s">
        <v>348</v>
      </c>
      <c r="K17" s="183"/>
      <c r="L17" s="83"/>
    </row>
    <row r="18" spans="1:12" ht="60.75" customHeight="1">
      <c r="A18" s="183">
        <v>16</v>
      </c>
      <c r="B18" s="183"/>
      <c r="C18" s="183"/>
      <c r="D18" s="187" t="s">
        <v>135</v>
      </c>
      <c r="E18" s="188"/>
      <c r="F18" s="183"/>
      <c r="G18" s="183" t="s">
        <v>377</v>
      </c>
      <c r="H18" s="183"/>
      <c r="I18" s="80" t="s">
        <v>378</v>
      </c>
      <c r="J18" s="184" t="s">
        <v>348</v>
      </c>
      <c r="K18" s="183"/>
      <c r="L18" s="83"/>
    </row>
    <row r="19" spans="1:12" s="16" customFormat="1" ht="187.5" customHeight="1">
      <c r="A19" s="183">
        <v>17</v>
      </c>
      <c r="B19" s="184" t="s">
        <v>342</v>
      </c>
      <c r="C19" s="184" t="s">
        <v>379</v>
      </c>
      <c r="D19" s="187" t="s">
        <v>135</v>
      </c>
      <c r="E19" s="191" t="s">
        <v>380</v>
      </c>
      <c r="F19" s="184" t="s">
        <v>381</v>
      </c>
      <c r="G19" s="184" t="s">
        <v>382</v>
      </c>
      <c r="H19" s="184"/>
      <c r="I19" s="84" t="s">
        <v>383</v>
      </c>
      <c r="J19" s="184" t="s">
        <v>348</v>
      </c>
      <c r="K19" s="184"/>
      <c r="L19" s="184"/>
    </row>
    <row r="20" spans="1:12" s="16" customFormat="1" ht="34.5" customHeight="1">
      <c r="A20" s="183">
        <v>18</v>
      </c>
      <c r="B20" s="184"/>
      <c r="C20" s="184"/>
      <c r="D20" s="187" t="s">
        <v>135</v>
      </c>
      <c r="E20" s="186"/>
      <c r="F20" s="184"/>
      <c r="G20" s="184" t="s">
        <v>384</v>
      </c>
      <c r="H20" s="184"/>
      <c r="I20" s="80" t="s">
        <v>385</v>
      </c>
      <c r="J20" s="184" t="s">
        <v>348</v>
      </c>
      <c r="K20" s="184"/>
      <c r="L20" s="184"/>
    </row>
    <row r="21" spans="1:12" s="16" customFormat="1" ht="47.25" customHeight="1">
      <c r="A21" s="183">
        <v>19</v>
      </c>
      <c r="B21" s="184"/>
      <c r="C21" s="184"/>
      <c r="D21" s="187" t="s">
        <v>135</v>
      </c>
      <c r="E21" s="186"/>
      <c r="F21" s="184"/>
      <c r="G21" s="184" t="s">
        <v>386</v>
      </c>
      <c r="H21" s="184"/>
      <c r="I21" s="80" t="s">
        <v>387</v>
      </c>
      <c r="J21" s="184" t="s">
        <v>348</v>
      </c>
      <c r="K21" s="184"/>
      <c r="L21" s="184"/>
    </row>
    <row r="22" spans="1:12" s="16" customFormat="1" ht="37.5" customHeight="1">
      <c r="A22" s="183">
        <v>20</v>
      </c>
      <c r="B22" s="184"/>
      <c r="C22" s="184"/>
      <c r="D22" s="187" t="s">
        <v>135</v>
      </c>
      <c r="E22" s="186"/>
      <c r="F22" s="184"/>
      <c r="G22" s="184" t="s">
        <v>388</v>
      </c>
      <c r="H22" s="184"/>
      <c r="I22" s="80" t="s">
        <v>389</v>
      </c>
      <c r="J22" s="184" t="s">
        <v>348</v>
      </c>
      <c r="K22" s="184"/>
      <c r="L22" s="184"/>
    </row>
    <row r="23" spans="1:12" s="16" customFormat="1" ht="37.5" customHeight="1">
      <c r="A23" s="183">
        <v>21</v>
      </c>
      <c r="B23" s="184"/>
      <c r="C23" s="184"/>
      <c r="D23" s="187" t="s">
        <v>135</v>
      </c>
      <c r="E23" s="186"/>
      <c r="F23" s="184"/>
      <c r="G23" s="184" t="s">
        <v>390</v>
      </c>
      <c r="H23" s="184"/>
      <c r="I23" s="80" t="s">
        <v>391</v>
      </c>
      <c r="J23" s="184" t="s">
        <v>348</v>
      </c>
      <c r="K23" s="184"/>
      <c r="L23" s="184"/>
    </row>
    <row r="24" spans="1:12" s="16" customFormat="1" ht="37.5" customHeight="1">
      <c r="A24" s="183">
        <v>22</v>
      </c>
      <c r="B24" s="184"/>
      <c r="C24" s="184"/>
      <c r="D24" s="187" t="s">
        <v>135</v>
      </c>
      <c r="E24" s="186"/>
      <c r="F24" s="184"/>
      <c r="G24" s="184" t="s">
        <v>392</v>
      </c>
      <c r="H24" s="184"/>
      <c r="I24" s="80" t="s">
        <v>393</v>
      </c>
      <c r="J24" s="184" t="s">
        <v>348</v>
      </c>
      <c r="K24" s="184"/>
      <c r="L24" s="184"/>
    </row>
    <row r="25" spans="1:12" s="16" customFormat="1" ht="50.25" customHeight="1">
      <c r="A25" s="183">
        <v>23</v>
      </c>
      <c r="B25" s="184"/>
      <c r="C25" s="184"/>
      <c r="D25" s="187" t="s">
        <v>135</v>
      </c>
      <c r="E25" s="186"/>
      <c r="F25" s="184"/>
      <c r="G25" s="184" t="s">
        <v>394</v>
      </c>
      <c r="H25" s="184"/>
      <c r="I25" s="80" t="s">
        <v>395</v>
      </c>
      <c r="J25" s="184" t="s">
        <v>348</v>
      </c>
      <c r="K25" s="184"/>
      <c r="L25" s="184"/>
    </row>
    <row r="26" spans="1:12" s="16" customFormat="1" ht="39" customHeight="1">
      <c r="A26" s="183">
        <v>24</v>
      </c>
      <c r="B26" s="184"/>
      <c r="C26" s="184"/>
      <c r="D26" s="187" t="s">
        <v>135</v>
      </c>
      <c r="E26" s="186"/>
      <c r="F26" s="184"/>
      <c r="G26" s="184" t="s">
        <v>396</v>
      </c>
      <c r="H26" s="184"/>
      <c r="I26" s="80" t="s">
        <v>397</v>
      </c>
      <c r="J26" s="184" t="s">
        <v>348</v>
      </c>
      <c r="K26" s="184"/>
      <c r="L26" s="184"/>
    </row>
    <row r="27" spans="1:12" ht="30.75">
      <c r="A27" s="183">
        <v>25</v>
      </c>
      <c r="B27" s="183"/>
      <c r="C27" s="183"/>
      <c r="D27" s="187" t="s">
        <v>135</v>
      </c>
      <c r="E27" s="191" t="s">
        <v>398</v>
      </c>
      <c r="F27" s="191" t="s">
        <v>399</v>
      </c>
      <c r="G27" s="183" t="s">
        <v>400</v>
      </c>
      <c r="H27" s="183"/>
      <c r="I27" s="183" t="s">
        <v>401</v>
      </c>
      <c r="J27" s="184" t="s">
        <v>348</v>
      </c>
      <c r="K27" s="183"/>
      <c r="L27" s="183"/>
    </row>
    <row r="28" spans="1:12">
      <c r="A28" s="183"/>
      <c r="B28" s="183"/>
      <c r="C28" s="183"/>
      <c r="D28" s="187"/>
      <c r="E28" s="191"/>
      <c r="F28" s="191"/>
      <c r="G28" s="183" t="s">
        <v>402</v>
      </c>
      <c r="H28" s="183"/>
      <c r="I28" s="183" t="s">
        <v>403</v>
      </c>
      <c r="J28" s="184" t="s">
        <v>348</v>
      </c>
      <c r="K28" s="183"/>
      <c r="L28" s="183"/>
    </row>
    <row r="29" spans="1:12" ht="45.75">
      <c r="A29" s="183"/>
      <c r="B29" s="183"/>
      <c r="C29" s="183"/>
      <c r="D29" s="187"/>
      <c r="E29" s="187" t="s">
        <v>404</v>
      </c>
      <c r="F29" s="187" t="s">
        <v>405</v>
      </c>
      <c r="G29" s="183" t="s">
        <v>406</v>
      </c>
      <c r="H29" s="183"/>
      <c r="I29" s="183" t="s">
        <v>407</v>
      </c>
      <c r="J29" s="184" t="s">
        <v>348</v>
      </c>
      <c r="K29" s="183"/>
      <c r="L29" s="183"/>
    </row>
    <row r="30" spans="1:12" ht="60.75">
      <c r="A30" s="183">
        <v>26</v>
      </c>
      <c r="B30" s="183" t="s">
        <v>342</v>
      </c>
      <c r="C30" s="183" t="s">
        <v>408</v>
      </c>
      <c r="D30" s="187" t="s">
        <v>135</v>
      </c>
      <c r="E30" s="153" t="s">
        <v>409</v>
      </c>
      <c r="F30" s="191" t="s">
        <v>410</v>
      </c>
      <c r="G30" s="183" t="s">
        <v>411</v>
      </c>
      <c r="H30" s="183"/>
      <c r="I30" s="85" t="s">
        <v>412</v>
      </c>
      <c r="J30" s="184" t="s">
        <v>348</v>
      </c>
      <c r="K30" s="183"/>
      <c r="L30" s="83" t="s">
        <v>413</v>
      </c>
    </row>
    <row r="31" spans="1:12">
      <c r="A31" s="183">
        <v>27</v>
      </c>
      <c r="B31" s="183" t="s">
        <v>342</v>
      </c>
      <c r="C31" s="183" t="s">
        <v>408</v>
      </c>
      <c r="D31" s="187" t="s">
        <v>135</v>
      </c>
      <c r="E31" s="188"/>
      <c r="F31" s="191"/>
      <c r="G31" s="183" t="s">
        <v>384</v>
      </c>
      <c r="H31" s="183"/>
      <c r="I31" s="85" t="s">
        <v>414</v>
      </c>
      <c r="J31" s="184" t="s">
        <v>348</v>
      </c>
      <c r="K31" s="183"/>
      <c r="L31" s="83"/>
    </row>
    <row r="32" spans="1:12" ht="30.75" customHeight="1">
      <c r="A32" s="183">
        <v>28</v>
      </c>
      <c r="B32" s="183" t="s">
        <v>342</v>
      </c>
      <c r="C32" s="183" t="s">
        <v>408</v>
      </c>
      <c r="D32" s="187" t="s">
        <v>135</v>
      </c>
      <c r="E32" s="188"/>
      <c r="F32" s="191"/>
      <c r="G32" s="183" t="s">
        <v>415</v>
      </c>
      <c r="H32" s="183"/>
      <c r="I32" s="85" t="s">
        <v>416</v>
      </c>
      <c r="J32" s="184" t="s">
        <v>348</v>
      </c>
      <c r="K32" s="183"/>
      <c r="L32" s="83"/>
    </row>
    <row r="33" spans="1:12" ht="16.5" customHeight="1">
      <c r="A33" s="183">
        <v>29</v>
      </c>
      <c r="B33" s="183" t="s">
        <v>342</v>
      </c>
      <c r="C33" s="183" t="s">
        <v>408</v>
      </c>
      <c r="D33" s="187" t="s">
        <v>135</v>
      </c>
      <c r="E33" s="188"/>
      <c r="F33" s="191"/>
      <c r="G33" s="183" t="s">
        <v>417</v>
      </c>
      <c r="H33" s="183"/>
      <c r="I33" s="85" t="s">
        <v>418</v>
      </c>
      <c r="J33" s="184" t="s">
        <v>348</v>
      </c>
      <c r="K33" s="183"/>
      <c r="L33" s="83"/>
    </row>
    <row r="34" spans="1:12">
      <c r="A34" s="183">
        <v>30</v>
      </c>
      <c r="B34" s="183" t="s">
        <v>342</v>
      </c>
      <c r="C34" s="183" t="s">
        <v>408</v>
      </c>
      <c r="D34" s="187" t="s">
        <v>135</v>
      </c>
      <c r="E34" s="188"/>
      <c r="F34" s="191"/>
      <c r="G34" s="183" t="s">
        <v>419</v>
      </c>
      <c r="H34" s="183"/>
      <c r="I34" s="85" t="s">
        <v>420</v>
      </c>
      <c r="J34" s="184" t="s">
        <v>348</v>
      </c>
      <c r="K34" s="183"/>
      <c r="L34" s="83"/>
    </row>
    <row r="35" spans="1:12" ht="183" customHeight="1">
      <c r="A35" s="183">
        <v>31</v>
      </c>
      <c r="B35" s="183" t="s">
        <v>342</v>
      </c>
      <c r="C35" s="183" t="s">
        <v>421</v>
      </c>
      <c r="D35" s="183"/>
      <c r="E35" s="154" t="s">
        <v>422</v>
      </c>
      <c r="F35" s="191" t="s">
        <v>423</v>
      </c>
      <c r="G35" s="80" t="s">
        <v>424</v>
      </c>
      <c r="H35" s="183"/>
      <c r="I35" s="80" t="s">
        <v>425</v>
      </c>
      <c r="J35" s="184" t="s">
        <v>348</v>
      </c>
      <c r="K35" s="183"/>
      <c r="L35" s="183"/>
    </row>
    <row r="36" spans="1:12" ht="183" customHeight="1">
      <c r="A36" s="183"/>
      <c r="B36" s="183"/>
      <c r="C36" s="183"/>
      <c r="D36" s="183"/>
      <c r="E36" s="154"/>
      <c r="F36" s="191"/>
      <c r="G36" s="80" t="s">
        <v>426</v>
      </c>
      <c r="H36" s="183"/>
      <c r="I36" s="80" t="s">
        <v>427</v>
      </c>
      <c r="J36" s="184" t="s">
        <v>348</v>
      </c>
      <c r="K36" s="183"/>
      <c r="L36" s="183"/>
    </row>
    <row r="37" spans="1:12" ht="183" customHeight="1">
      <c r="A37" s="183"/>
      <c r="B37" s="183"/>
      <c r="C37" s="183"/>
      <c r="D37" s="183"/>
      <c r="E37" s="154"/>
      <c r="F37" s="191"/>
      <c r="G37" s="123" t="s">
        <v>428</v>
      </c>
      <c r="H37" s="183"/>
      <c r="I37" s="80" t="s">
        <v>429</v>
      </c>
      <c r="J37" s="184" t="s">
        <v>348</v>
      </c>
      <c r="K37" s="183"/>
      <c r="L37" s="183"/>
    </row>
    <row r="38" spans="1:12" ht="125.25" customHeight="1">
      <c r="A38" s="183"/>
      <c r="B38" s="183"/>
      <c r="C38" s="183"/>
      <c r="D38" s="183"/>
      <c r="E38" s="151" t="s">
        <v>430</v>
      </c>
      <c r="F38" s="191" t="s">
        <v>431</v>
      </c>
      <c r="G38" s="134" t="s">
        <v>432</v>
      </c>
      <c r="H38" s="183"/>
      <c r="I38" s="80" t="s">
        <v>433</v>
      </c>
      <c r="J38" s="184" t="s">
        <v>4</v>
      </c>
      <c r="K38" s="183"/>
      <c r="L38" s="183"/>
    </row>
    <row r="39" spans="1:12" ht="93" customHeight="1">
      <c r="A39" s="183"/>
      <c r="B39" s="183"/>
      <c r="C39" s="183"/>
      <c r="D39" s="183"/>
      <c r="E39" s="151"/>
      <c r="F39" s="191"/>
      <c r="G39" s="134" t="s">
        <v>434</v>
      </c>
      <c r="H39" s="183"/>
      <c r="I39" s="80" t="s">
        <v>435</v>
      </c>
      <c r="J39" s="184" t="s">
        <v>4</v>
      </c>
      <c r="K39" s="183"/>
      <c r="L39" s="183"/>
    </row>
    <row r="40" spans="1:12" ht="92.25" customHeight="1">
      <c r="A40" s="183">
        <v>32</v>
      </c>
      <c r="B40" s="183"/>
      <c r="C40" s="183"/>
      <c r="D40" s="183"/>
      <c r="E40" s="151"/>
      <c r="F40" s="191"/>
      <c r="G40" s="80" t="s">
        <v>436</v>
      </c>
      <c r="H40" s="183"/>
      <c r="I40" s="183" t="s">
        <v>437</v>
      </c>
      <c r="J40" s="184" t="s">
        <v>4</v>
      </c>
      <c r="K40" s="183"/>
      <c r="L40" s="183"/>
    </row>
    <row r="41" spans="1:12" ht="92.25" customHeight="1">
      <c r="A41" s="183"/>
      <c r="B41" s="183"/>
      <c r="C41" s="183"/>
      <c r="D41" s="183"/>
      <c r="E41" s="151"/>
      <c r="F41" s="191"/>
      <c r="G41" s="80" t="s">
        <v>438</v>
      </c>
      <c r="H41" s="183"/>
      <c r="I41" s="183" t="s">
        <v>439</v>
      </c>
      <c r="J41" s="184" t="s">
        <v>4</v>
      </c>
      <c r="K41" s="183"/>
      <c r="L41" s="183"/>
    </row>
    <row r="42" spans="1:12" ht="167.25" customHeight="1">
      <c r="A42" s="183"/>
      <c r="B42" s="183"/>
      <c r="C42" s="183"/>
      <c r="D42" s="183"/>
      <c r="E42" s="80"/>
      <c r="F42" s="183"/>
      <c r="G42" s="183"/>
      <c r="H42" s="183"/>
      <c r="I42" s="183"/>
      <c r="J42" s="183"/>
      <c r="K42" s="183"/>
      <c r="L42" s="183"/>
    </row>
    <row r="43" spans="1:12" ht="167.25" customHeight="1">
      <c r="A43" s="183"/>
      <c r="B43" s="183"/>
      <c r="C43" s="183"/>
      <c r="D43" s="183"/>
      <c r="E43" s="80"/>
      <c r="F43" s="183"/>
      <c r="G43" s="183"/>
      <c r="H43" s="183"/>
      <c r="I43" s="183"/>
      <c r="J43" s="183"/>
      <c r="K43" s="183"/>
      <c r="L43" s="183"/>
    </row>
    <row r="44" spans="1:12" ht="167.25" customHeight="1">
      <c r="A44" s="183"/>
      <c r="B44" s="183"/>
      <c r="C44" s="183"/>
      <c r="D44" s="183"/>
      <c r="E44" s="80"/>
      <c r="F44" s="183"/>
      <c r="G44" s="183"/>
      <c r="H44" s="183"/>
      <c r="I44" s="183"/>
      <c r="J44" s="183"/>
      <c r="K44" s="183"/>
      <c r="L44" s="183"/>
    </row>
    <row r="45" spans="1:12" ht="106.5" customHeight="1">
      <c r="A45" s="183">
        <v>33</v>
      </c>
      <c r="B45" s="183"/>
      <c r="C45" s="183"/>
      <c r="D45" s="183"/>
      <c r="E45" s="80" t="s">
        <v>440</v>
      </c>
      <c r="F45" s="183"/>
      <c r="G45" s="183" t="s">
        <v>441</v>
      </c>
      <c r="H45" s="183"/>
      <c r="I45" s="183"/>
      <c r="J45" s="183" t="s">
        <v>2</v>
      </c>
      <c r="K45" s="183"/>
      <c r="L45" s="183"/>
    </row>
    <row r="46" spans="1:12" ht="91.5" customHeight="1">
      <c r="A46" s="183">
        <v>34</v>
      </c>
      <c r="B46" s="183"/>
      <c r="C46" s="183"/>
      <c r="D46" s="183"/>
      <c r="E46" s="183" t="s">
        <v>442</v>
      </c>
      <c r="F46" s="183"/>
      <c r="G46" s="183" t="s">
        <v>443</v>
      </c>
      <c r="H46" s="183"/>
      <c r="I46" s="183"/>
      <c r="J46" s="183" t="s">
        <v>2</v>
      </c>
      <c r="K46" s="183"/>
      <c r="L46" s="183"/>
    </row>
    <row r="47" spans="1:12" ht="76.5" customHeight="1">
      <c r="A47" s="183">
        <v>35</v>
      </c>
      <c r="B47" s="183"/>
      <c r="C47" s="183"/>
      <c r="D47" s="183"/>
      <c r="E47" s="183" t="s">
        <v>444</v>
      </c>
      <c r="F47" s="183"/>
      <c r="G47" s="183" t="s">
        <v>445</v>
      </c>
      <c r="H47" s="183"/>
      <c r="I47" s="183"/>
      <c r="J47" s="183" t="s">
        <v>2</v>
      </c>
      <c r="K47" s="183"/>
      <c r="L47" s="183"/>
    </row>
    <row r="48" spans="1:12" ht="91.5" customHeight="1">
      <c r="A48" s="183">
        <v>36</v>
      </c>
      <c r="B48" s="183"/>
      <c r="C48" s="183"/>
      <c r="D48" s="183"/>
      <c r="E48" s="183" t="s">
        <v>446</v>
      </c>
      <c r="F48" s="183" t="s">
        <v>447</v>
      </c>
      <c r="G48" s="192" t="s">
        <v>448</v>
      </c>
      <c r="H48" s="183"/>
      <c r="I48" s="183" t="s">
        <v>449</v>
      </c>
      <c r="J48" s="184" t="s">
        <v>348</v>
      </c>
      <c r="K48" s="183"/>
      <c r="L48" s="183"/>
    </row>
    <row r="49" spans="1:12" ht="60.75" customHeight="1">
      <c r="A49" s="183">
        <v>37</v>
      </c>
      <c r="B49" s="183" t="s">
        <v>342</v>
      </c>
      <c r="C49" s="183" t="s">
        <v>450</v>
      </c>
      <c r="D49" s="183"/>
      <c r="E49" s="183" t="s">
        <v>451</v>
      </c>
      <c r="F49" s="183"/>
      <c r="G49" s="183" t="s">
        <v>452</v>
      </c>
      <c r="H49" s="183"/>
      <c r="I49" s="184" t="s">
        <v>453</v>
      </c>
      <c r="J49" s="184" t="s">
        <v>348</v>
      </c>
      <c r="K49" s="183"/>
      <c r="L49" s="183"/>
    </row>
    <row r="50" spans="1:12" ht="106.5" customHeight="1">
      <c r="A50" s="183">
        <v>38</v>
      </c>
      <c r="B50" s="183" t="s">
        <v>342</v>
      </c>
      <c r="C50" s="183" t="s">
        <v>454</v>
      </c>
      <c r="D50" s="183"/>
      <c r="E50" s="183" t="s">
        <v>455</v>
      </c>
      <c r="F50" s="183"/>
      <c r="G50" s="183" t="s">
        <v>456</v>
      </c>
      <c r="H50" s="183"/>
      <c r="I50" s="80" t="s">
        <v>457</v>
      </c>
      <c r="J50" s="184" t="s">
        <v>348</v>
      </c>
      <c r="K50" s="183"/>
      <c r="L50" s="183"/>
    </row>
    <row r="51" spans="1:12" ht="106.5" customHeight="1">
      <c r="A51" s="183">
        <v>39</v>
      </c>
      <c r="B51" s="183" t="s">
        <v>342</v>
      </c>
      <c r="C51" s="183" t="s">
        <v>454</v>
      </c>
      <c r="D51" s="183"/>
      <c r="E51" s="183" t="s">
        <v>458</v>
      </c>
      <c r="F51" s="183"/>
      <c r="G51" s="183" t="s">
        <v>459</v>
      </c>
      <c r="H51" s="183"/>
      <c r="I51" s="184" t="s">
        <v>460</v>
      </c>
      <c r="J51" s="184" t="s">
        <v>348</v>
      </c>
      <c r="K51" s="183"/>
      <c r="L51" s="183"/>
    </row>
    <row r="52" spans="1:12" ht="60.75" customHeight="1">
      <c r="A52" s="183">
        <v>40</v>
      </c>
      <c r="B52" s="183" t="s">
        <v>342</v>
      </c>
      <c r="C52" s="183" t="s">
        <v>461</v>
      </c>
      <c r="D52" s="183"/>
      <c r="E52" s="183" t="s">
        <v>462</v>
      </c>
      <c r="F52" s="183"/>
      <c r="G52" s="183" t="s">
        <v>463</v>
      </c>
      <c r="H52" s="183"/>
      <c r="I52" s="183" t="s">
        <v>464</v>
      </c>
      <c r="J52" s="184" t="s">
        <v>348</v>
      </c>
      <c r="K52" s="183"/>
      <c r="L52" s="183"/>
    </row>
    <row r="53" spans="1:12" ht="183" customHeight="1">
      <c r="A53" s="183">
        <v>43</v>
      </c>
      <c r="B53" s="183" t="s">
        <v>342</v>
      </c>
      <c r="C53" s="183"/>
      <c r="D53" s="183"/>
      <c r="E53" s="191" t="s">
        <v>465</v>
      </c>
      <c r="F53" s="191" t="s">
        <v>381</v>
      </c>
      <c r="G53" s="183" t="s">
        <v>382</v>
      </c>
      <c r="H53" s="183"/>
      <c r="I53" s="183"/>
      <c r="J53" s="184" t="s">
        <v>348</v>
      </c>
      <c r="K53" s="183"/>
      <c r="L53" s="183"/>
    </row>
    <row r="54" spans="1:12">
      <c r="A54" s="183">
        <v>44</v>
      </c>
      <c r="B54" s="183" t="s">
        <v>342</v>
      </c>
      <c r="C54" s="183"/>
      <c r="D54" s="183"/>
      <c r="E54" s="188"/>
      <c r="F54" s="188"/>
      <c r="G54" s="183" t="s">
        <v>384</v>
      </c>
      <c r="H54" s="183"/>
      <c r="I54" s="183"/>
      <c r="J54" s="184" t="s">
        <v>348</v>
      </c>
      <c r="K54" s="183"/>
      <c r="L54" s="183"/>
    </row>
    <row r="55" spans="1:12" ht="30.75" customHeight="1">
      <c r="A55" s="183">
        <v>45</v>
      </c>
      <c r="B55" s="183" t="s">
        <v>342</v>
      </c>
      <c r="C55" s="183"/>
      <c r="D55" s="183"/>
      <c r="E55" s="188"/>
      <c r="F55" s="188"/>
      <c r="G55" s="183" t="s">
        <v>466</v>
      </c>
      <c r="H55" s="183"/>
      <c r="I55" s="183"/>
      <c r="J55" s="184" t="s">
        <v>348</v>
      </c>
      <c r="K55" s="183"/>
      <c r="L55" s="183"/>
    </row>
    <row r="56" spans="1:12">
      <c r="A56" s="183">
        <v>46</v>
      </c>
      <c r="B56" s="183" t="s">
        <v>342</v>
      </c>
      <c r="C56" s="183"/>
      <c r="D56" s="183"/>
      <c r="E56" s="188"/>
      <c r="F56" s="188"/>
      <c r="G56" s="183" t="s">
        <v>467</v>
      </c>
      <c r="H56" s="183"/>
      <c r="I56" s="183"/>
      <c r="J56" s="184" t="s">
        <v>348</v>
      </c>
      <c r="K56" s="183"/>
      <c r="L56" s="183"/>
    </row>
    <row r="57" spans="1:12">
      <c r="A57" s="183">
        <v>47</v>
      </c>
      <c r="B57" s="183" t="s">
        <v>342</v>
      </c>
      <c r="C57" s="183"/>
      <c r="D57" s="183"/>
      <c r="E57" s="188"/>
      <c r="F57" s="188"/>
      <c r="G57" s="183" t="s">
        <v>390</v>
      </c>
      <c r="H57" s="183"/>
      <c r="I57" s="183"/>
      <c r="J57" s="184" t="s">
        <v>348</v>
      </c>
      <c r="K57" s="183"/>
      <c r="L57" s="183"/>
    </row>
    <row r="58" spans="1:12">
      <c r="A58" s="183">
        <v>48</v>
      </c>
      <c r="B58" s="183" t="s">
        <v>342</v>
      </c>
      <c r="C58" s="183"/>
      <c r="D58" s="183"/>
      <c r="E58" s="188"/>
      <c r="F58" s="188"/>
      <c r="G58" s="183" t="s">
        <v>468</v>
      </c>
      <c r="H58" s="183"/>
      <c r="I58" s="183"/>
      <c r="J58" s="184" t="s">
        <v>348</v>
      </c>
      <c r="K58" s="183"/>
      <c r="L58" s="183"/>
    </row>
    <row r="59" spans="1:12">
      <c r="A59" s="183">
        <v>49</v>
      </c>
      <c r="B59" s="183" t="s">
        <v>342</v>
      </c>
      <c r="C59" s="183"/>
      <c r="D59" s="183"/>
      <c r="E59" s="188"/>
      <c r="F59" s="188"/>
      <c r="G59" s="183" t="s">
        <v>394</v>
      </c>
      <c r="H59" s="183"/>
      <c r="I59" s="183"/>
      <c r="J59" s="184" t="s">
        <v>348</v>
      </c>
      <c r="K59" s="183"/>
      <c r="L59" s="183"/>
    </row>
    <row r="60" spans="1:12" ht="121.5" customHeight="1">
      <c r="A60" s="183">
        <v>50</v>
      </c>
      <c r="B60" s="183" t="s">
        <v>342</v>
      </c>
      <c r="C60" s="183"/>
      <c r="D60" s="183"/>
      <c r="E60" s="188"/>
      <c r="F60" s="188"/>
      <c r="G60" s="183" t="s">
        <v>396</v>
      </c>
      <c r="H60" s="183"/>
      <c r="I60" s="183" t="s">
        <v>469</v>
      </c>
      <c r="J60" s="184" t="s">
        <v>348</v>
      </c>
      <c r="K60" s="183"/>
      <c r="L60" s="83" t="s">
        <v>470</v>
      </c>
    </row>
    <row r="61" spans="1:12" ht="121.5" customHeight="1">
      <c r="A61" s="183"/>
      <c r="B61" s="183"/>
      <c r="C61" s="183"/>
      <c r="D61" s="183"/>
      <c r="E61" s="191" t="s">
        <v>471</v>
      </c>
      <c r="F61" s="191" t="s">
        <v>472</v>
      </c>
      <c r="G61" s="123" t="s">
        <v>473</v>
      </c>
      <c r="H61" s="183"/>
      <c r="I61" s="183" t="s">
        <v>474</v>
      </c>
      <c r="J61" s="184" t="s">
        <v>348</v>
      </c>
      <c r="K61" s="183"/>
      <c r="L61" s="83"/>
    </row>
    <row r="62" spans="1:12" ht="60.75" customHeight="1">
      <c r="A62" s="183">
        <v>51</v>
      </c>
      <c r="B62" s="183" t="s">
        <v>342</v>
      </c>
      <c r="C62" s="191" t="s">
        <v>342</v>
      </c>
      <c r="D62" s="187"/>
      <c r="E62" s="191"/>
      <c r="F62" s="191"/>
      <c r="G62" s="80" t="s">
        <v>475</v>
      </c>
      <c r="H62" s="183"/>
      <c r="I62" s="183" t="s">
        <v>476</v>
      </c>
      <c r="J62" s="184" t="s">
        <v>348</v>
      </c>
      <c r="K62" s="183"/>
      <c r="L62" s="83"/>
    </row>
    <row r="63" spans="1:12" ht="60.75" customHeight="1">
      <c r="A63" s="183">
        <v>52</v>
      </c>
      <c r="B63" s="183" t="s">
        <v>342</v>
      </c>
      <c r="C63" s="188"/>
      <c r="D63" s="187"/>
      <c r="E63" s="191"/>
      <c r="F63" s="191"/>
      <c r="G63" s="183" t="s">
        <v>477</v>
      </c>
      <c r="H63" s="183"/>
      <c r="I63" s="183" t="s">
        <v>478</v>
      </c>
      <c r="J63" s="184" t="s">
        <v>348</v>
      </c>
      <c r="K63" s="183"/>
      <c r="L63" s="83"/>
    </row>
    <row r="64" spans="1:12" ht="45.75" customHeight="1">
      <c r="A64" s="183">
        <v>53</v>
      </c>
      <c r="B64" s="183" t="s">
        <v>342</v>
      </c>
      <c r="C64" s="188"/>
      <c r="D64" s="187"/>
      <c r="E64" s="191"/>
      <c r="F64" s="191"/>
      <c r="G64" s="183" t="s">
        <v>479</v>
      </c>
      <c r="H64" s="183"/>
      <c r="I64" s="183" t="s">
        <v>480</v>
      </c>
      <c r="J64" s="184" t="s">
        <v>348</v>
      </c>
      <c r="K64" s="183"/>
      <c r="L64" s="83"/>
    </row>
    <row r="65" spans="1:12" ht="84" customHeight="1">
      <c r="A65" s="183">
        <v>54</v>
      </c>
      <c r="B65" s="183" t="s">
        <v>342</v>
      </c>
      <c r="C65" s="188"/>
      <c r="D65" s="187"/>
      <c r="E65" s="191"/>
      <c r="F65" s="191"/>
      <c r="G65" s="183" t="s">
        <v>481</v>
      </c>
      <c r="H65" s="183"/>
      <c r="I65" s="183" t="s">
        <v>482</v>
      </c>
      <c r="J65" s="184" t="s">
        <v>348</v>
      </c>
      <c r="K65" s="183"/>
      <c r="L65" s="83" t="s">
        <v>483</v>
      </c>
    </row>
    <row r="66" spans="1:12" ht="45.75" customHeight="1">
      <c r="A66" s="183"/>
      <c r="B66" s="192"/>
      <c r="C66" s="192"/>
      <c r="D66" s="187"/>
      <c r="E66" s="151" t="s">
        <v>484</v>
      </c>
      <c r="F66" s="191" t="s">
        <v>485</v>
      </c>
      <c r="G66" s="123" t="s">
        <v>486</v>
      </c>
      <c r="H66" s="183"/>
      <c r="I66" s="183" t="s">
        <v>474</v>
      </c>
      <c r="J66" s="184" t="s">
        <v>348</v>
      </c>
      <c r="K66" s="183"/>
      <c r="L66" s="83"/>
    </row>
    <row r="67" spans="1:12" ht="91.5" customHeight="1">
      <c r="A67" s="183">
        <v>55</v>
      </c>
      <c r="B67" s="192" t="s">
        <v>342</v>
      </c>
      <c r="C67" s="151"/>
      <c r="D67" s="81"/>
      <c r="E67" s="191"/>
      <c r="F67" s="191"/>
      <c r="G67" s="80" t="s">
        <v>487</v>
      </c>
      <c r="H67" s="183"/>
      <c r="I67" s="183" t="s">
        <v>425</v>
      </c>
      <c r="J67" s="184" t="s">
        <v>348</v>
      </c>
      <c r="K67" s="183"/>
      <c r="L67" s="183"/>
    </row>
    <row r="68" spans="1:12" ht="76.5" customHeight="1">
      <c r="A68" s="183">
        <v>56</v>
      </c>
      <c r="B68" s="192" t="s">
        <v>342</v>
      </c>
      <c r="C68" s="190"/>
      <c r="D68" s="81"/>
      <c r="E68" s="191"/>
      <c r="F68" s="191"/>
      <c r="G68" s="80" t="s">
        <v>488</v>
      </c>
      <c r="H68" s="183"/>
      <c r="I68" s="183" t="s">
        <v>489</v>
      </c>
      <c r="J68" s="184" t="s">
        <v>348</v>
      </c>
      <c r="K68" s="183"/>
      <c r="L68" s="183"/>
    </row>
    <row r="69" spans="1:12" ht="76.5" customHeight="1">
      <c r="A69" s="183">
        <v>57</v>
      </c>
      <c r="B69" s="192" t="s">
        <v>342</v>
      </c>
      <c r="C69" s="190"/>
      <c r="D69" s="81"/>
      <c r="E69" s="191"/>
      <c r="F69" s="191"/>
      <c r="G69" s="80" t="s">
        <v>490</v>
      </c>
      <c r="H69" s="183"/>
      <c r="I69" s="183" t="s">
        <v>491</v>
      </c>
      <c r="J69" s="184" t="s">
        <v>348</v>
      </c>
      <c r="K69" s="183"/>
      <c r="L69" s="183"/>
    </row>
    <row r="70" spans="1:12" ht="76.5" customHeight="1">
      <c r="A70" s="183">
        <v>58</v>
      </c>
      <c r="B70" s="192" t="s">
        <v>342</v>
      </c>
      <c r="C70" s="190"/>
      <c r="D70" s="81"/>
      <c r="E70" s="191"/>
      <c r="F70" s="191"/>
      <c r="G70" s="80" t="s">
        <v>492</v>
      </c>
      <c r="H70" s="183"/>
      <c r="I70" s="183" t="s">
        <v>493</v>
      </c>
      <c r="J70" s="184" t="s">
        <v>348</v>
      </c>
      <c r="K70" s="183"/>
      <c r="L70" s="183"/>
    </row>
    <row r="71" spans="1:12" ht="76.5" customHeight="1">
      <c r="A71" s="183"/>
      <c r="B71" s="192"/>
      <c r="C71" s="192"/>
      <c r="D71" s="81"/>
      <c r="E71" s="151" t="s">
        <v>494</v>
      </c>
      <c r="F71" s="151" t="s">
        <v>485</v>
      </c>
      <c r="G71" s="123" t="s">
        <v>495</v>
      </c>
      <c r="H71" s="183"/>
      <c r="I71" s="183" t="s">
        <v>474</v>
      </c>
      <c r="J71" s="184" t="s">
        <v>348</v>
      </c>
      <c r="K71" s="183"/>
      <c r="L71" s="183"/>
    </row>
    <row r="72" spans="1:12" ht="91.5" customHeight="1">
      <c r="A72" s="183">
        <v>59</v>
      </c>
      <c r="B72" s="183" t="s">
        <v>342</v>
      </c>
      <c r="C72" s="151"/>
      <c r="D72" s="81"/>
      <c r="E72" s="151"/>
      <c r="F72" s="151"/>
      <c r="G72" s="80" t="s">
        <v>487</v>
      </c>
      <c r="H72" s="183"/>
      <c r="I72" s="183" t="s">
        <v>425</v>
      </c>
      <c r="J72" s="184" t="s">
        <v>348</v>
      </c>
      <c r="K72" s="183"/>
      <c r="L72" s="183"/>
    </row>
    <row r="73" spans="1:12" ht="76.5" customHeight="1">
      <c r="A73" s="183">
        <v>60</v>
      </c>
      <c r="B73" s="183" t="s">
        <v>342</v>
      </c>
      <c r="C73" s="188"/>
      <c r="D73" s="81"/>
      <c r="E73" s="151"/>
      <c r="F73" s="151"/>
      <c r="G73" s="80" t="s">
        <v>488</v>
      </c>
      <c r="H73" s="183"/>
      <c r="I73" s="183" t="s">
        <v>489</v>
      </c>
      <c r="J73" s="184" t="s">
        <v>348</v>
      </c>
      <c r="K73" s="183"/>
      <c r="L73" s="183"/>
    </row>
    <row r="74" spans="1:12" ht="101.25" customHeight="1">
      <c r="A74" s="183">
        <v>61</v>
      </c>
      <c r="B74" s="183" t="s">
        <v>342</v>
      </c>
      <c r="C74" s="188"/>
      <c r="D74" s="81"/>
      <c r="E74" s="151"/>
      <c r="F74" s="151"/>
      <c r="G74" s="80" t="s">
        <v>490</v>
      </c>
      <c r="H74" s="183"/>
      <c r="I74" s="183" t="s">
        <v>491</v>
      </c>
      <c r="J74" s="184" t="s">
        <v>348</v>
      </c>
      <c r="K74" s="183"/>
      <c r="L74" s="183"/>
    </row>
    <row r="75" spans="1:12" ht="76.5" customHeight="1">
      <c r="A75" s="183">
        <v>62</v>
      </c>
      <c r="B75" s="183" t="s">
        <v>342</v>
      </c>
      <c r="C75" s="188"/>
      <c r="D75" s="81"/>
      <c r="E75" s="151"/>
      <c r="F75" s="151"/>
      <c r="G75" s="80" t="s">
        <v>492</v>
      </c>
      <c r="H75" s="183"/>
      <c r="I75" s="183" t="s">
        <v>493</v>
      </c>
      <c r="J75" s="184" t="s">
        <v>348</v>
      </c>
      <c r="K75" s="183"/>
      <c r="L75" s="183"/>
    </row>
    <row r="76" spans="1:12" ht="76.5" customHeight="1">
      <c r="A76" s="183"/>
      <c r="B76" s="183"/>
      <c r="C76" s="183"/>
      <c r="D76" s="81"/>
      <c r="E76" s="151" t="s">
        <v>496</v>
      </c>
      <c r="F76" s="151" t="s">
        <v>497</v>
      </c>
      <c r="G76" s="123" t="s">
        <v>486</v>
      </c>
      <c r="H76" s="183"/>
      <c r="I76" s="183" t="s">
        <v>474</v>
      </c>
      <c r="J76" s="184" t="s">
        <v>348</v>
      </c>
      <c r="K76" s="183"/>
      <c r="L76" s="183"/>
    </row>
    <row r="77" spans="1:12" ht="91.5" customHeight="1">
      <c r="A77" s="183">
        <v>63</v>
      </c>
      <c r="B77" s="183" t="s">
        <v>342</v>
      </c>
      <c r="C77" s="151"/>
      <c r="D77" s="81"/>
      <c r="E77" s="151"/>
      <c r="F77" s="151"/>
      <c r="G77" s="80" t="s">
        <v>498</v>
      </c>
      <c r="H77" s="183"/>
      <c r="I77" s="183" t="s">
        <v>425</v>
      </c>
      <c r="J77" s="184" t="s">
        <v>348</v>
      </c>
      <c r="K77" s="183"/>
      <c r="L77" s="183"/>
    </row>
    <row r="78" spans="1:12" ht="76.5" customHeight="1">
      <c r="A78" s="183">
        <v>64</v>
      </c>
      <c r="B78" s="183"/>
      <c r="C78" s="188"/>
      <c r="D78" s="81"/>
      <c r="E78" s="151"/>
      <c r="F78" s="151"/>
      <c r="G78" s="80" t="s">
        <v>488</v>
      </c>
      <c r="H78" s="183"/>
      <c r="I78" s="183" t="s">
        <v>489</v>
      </c>
      <c r="J78" s="184" t="s">
        <v>348</v>
      </c>
      <c r="K78" s="183"/>
      <c r="L78" s="183"/>
    </row>
    <row r="79" spans="1:12" ht="76.5" customHeight="1">
      <c r="A79" s="183">
        <v>65</v>
      </c>
      <c r="B79" s="183"/>
      <c r="C79" s="188"/>
      <c r="D79" s="81"/>
      <c r="E79" s="151"/>
      <c r="F79" s="151"/>
      <c r="G79" s="80" t="s">
        <v>490</v>
      </c>
      <c r="H79" s="183"/>
      <c r="I79" s="183" t="s">
        <v>491</v>
      </c>
      <c r="J79" s="184" t="s">
        <v>348</v>
      </c>
      <c r="K79" s="183"/>
      <c r="L79" s="183"/>
    </row>
    <row r="80" spans="1:12" ht="76.5" customHeight="1">
      <c r="A80" s="183">
        <v>66</v>
      </c>
      <c r="B80" s="183"/>
      <c r="C80" s="188"/>
      <c r="D80" s="81"/>
      <c r="E80" s="151"/>
      <c r="F80" s="151"/>
      <c r="G80" s="80" t="s">
        <v>492</v>
      </c>
      <c r="H80" s="183"/>
      <c r="I80" s="183" t="s">
        <v>493</v>
      </c>
      <c r="J80" s="184" t="s">
        <v>348</v>
      </c>
      <c r="K80" s="183"/>
      <c r="L80" s="183"/>
    </row>
    <row r="81" spans="1:12" ht="76.5" customHeight="1">
      <c r="A81" s="183"/>
      <c r="B81" s="183"/>
      <c r="C81" s="183"/>
      <c r="D81" s="81"/>
      <c r="E81" s="151" t="s">
        <v>499</v>
      </c>
      <c r="F81" s="191" t="s">
        <v>497</v>
      </c>
      <c r="G81" s="123" t="s">
        <v>495</v>
      </c>
      <c r="H81" s="183"/>
      <c r="I81" s="183" t="s">
        <v>474</v>
      </c>
      <c r="J81" s="184" t="s">
        <v>348</v>
      </c>
      <c r="K81" s="183"/>
      <c r="L81" s="183"/>
    </row>
    <row r="82" spans="1:12" ht="91.5" customHeight="1">
      <c r="A82" s="183">
        <v>67</v>
      </c>
      <c r="B82" s="183"/>
      <c r="C82" s="151"/>
      <c r="D82" s="81"/>
      <c r="E82" s="151"/>
      <c r="F82" s="191"/>
      <c r="G82" s="80" t="s">
        <v>498</v>
      </c>
      <c r="H82" s="183"/>
      <c r="I82" s="183" t="s">
        <v>425</v>
      </c>
      <c r="J82" s="184" t="s">
        <v>348</v>
      </c>
      <c r="K82" s="183"/>
      <c r="L82" s="183"/>
    </row>
    <row r="83" spans="1:12" ht="60.75" customHeight="1">
      <c r="A83" s="183">
        <v>68</v>
      </c>
      <c r="B83" s="183"/>
      <c r="C83" s="188"/>
      <c r="D83" s="81"/>
      <c r="E83" s="151"/>
      <c r="F83" s="191"/>
      <c r="G83" s="80" t="s">
        <v>500</v>
      </c>
      <c r="H83" s="183"/>
      <c r="I83" s="183" t="s">
        <v>489</v>
      </c>
      <c r="J83" s="184" t="s">
        <v>348</v>
      </c>
      <c r="K83" s="183"/>
      <c r="L83" s="183"/>
    </row>
    <row r="84" spans="1:12" ht="76.5" customHeight="1">
      <c r="A84" s="183">
        <v>69</v>
      </c>
      <c r="B84" s="183"/>
      <c r="C84" s="188"/>
      <c r="D84" s="81"/>
      <c r="E84" s="151"/>
      <c r="F84" s="191"/>
      <c r="G84" s="80" t="s">
        <v>490</v>
      </c>
      <c r="H84" s="183"/>
      <c r="I84" s="183" t="s">
        <v>491</v>
      </c>
      <c r="J84" s="184" t="s">
        <v>348</v>
      </c>
      <c r="K84" s="183"/>
      <c r="L84" s="183"/>
    </row>
    <row r="85" spans="1:12" ht="76.5" customHeight="1">
      <c r="A85" s="183">
        <v>70</v>
      </c>
      <c r="B85" s="183"/>
      <c r="C85" s="188"/>
      <c r="D85" s="81"/>
      <c r="E85" s="151"/>
      <c r="F85" s="191"/>
      <c r="G85" s="80" t="s">
        <v>492</v>
      </c>
      <c r="H85" s="183"/>
      <c r="I85" s="183" t="s">
        <v>493</v>
      </c>
      <c r="J85" s="184" t="s">
        <v>348</v>
      </c>
      <c r="K85" s="183"/>
      <c r="L85" s="83" t="s">
        <v>501</v>
      </c>
    </row>
    <row r="86" spans="1:12" ht="76.5" customHeight="1">
      <c r="A86" s="183"/>
      <c r="B86" s="183"/>
      <c r="C86" s="183"/>
      <c r="D86" s="81"/>
      <c r="E86" s="151" t="s">
        <v>502</v>
      </c>
      <c r="F86" s="191" t="s">
        <v>503</v>
      </c>
      <c r="G86" s="123" t="s">
        <v>504</v>
      </c>
      <c r="H86" s="183"/>
      <c r="I86" s="183" t="s">
        <v>474</v>
      </c>
      <c r="J86" s="184" t="s">
        <v>348</v>
      </c>
      <c r="K86" s="183"/>
      <c r="L86" s="83"/>
    </row>
    <row r="87" spans="1:12" ht="91.5" customHeight="1">
      <c r="A87" s="183">
        <v>71</v>
      </c>
      <c r="B87" s="183"/>
      <c r="C87" s="151"/>
      <c r="D87" s="81"/>
      <c r="E87" s="151"/>
      <c r="F87" s="191"/>
      <c r="G87" s="80" t="s">
        <v>505</v>
      </c>
      <c r="H87" s="183"/>
      <c r="I87" s="183" t="s">
        <v>425</v>
      </c>
      <c r="J87" s="184" t="s">
        <v>348</v>
      </c>
      <c r="K87" s="183"/>
      <c r="L87" s="183"/>
    </row>
    <row r="88" spans="1:12" ht="76.5" customHeight="1">
      <c r="A88" s="183">
        <v>72</v>
      </c>
      <c r="B88" s="183"/>
      <c r="C88" s="188"/>
      <c r="D88" s="81"/>
      <c r="E88" s="151"/>
      <c r="F88" s="191"/>
      <c r="G88" s="80" t="s">
        <v>488</v>
      </c>
      <c r="H88" s="183"/>
      <c r="I88" s="183" t="s">
        <v>489</v>
      </c>
      <c r="J88" s="184" t="s">
        <v>348</v>
      </c>
      <c r="K88" s="183"/>
      <c r="L88" s="183"/>
    </row>
    <row r="89" spans="1:12" ht="76.5" customHeight="1">
      <c r="A89" s="183">
        <v>73</v>
      </c>
      <c r="B89" s="183"/>
      <c r="C89" s="188"/>
      <c r="D89" s="81"/>
      <c r="E89" s="151"/>
      <c r="F89" s="191"/>
      <c r="G89" s="80" t="s">
        <v>490</v>
      </c>
      <c r="H89" s="183"/>
      <c r="I89" s="183" t="s">
        <v>491</v>
      </c>
      <c r="J89" s="184" t="s">
        <v>348</v>
      </c>
      <c r="K89" s="183"/>
      <c r="L89" s="183"/>
    </row>
    <row r="90" spans="1:12" ht="112.5" customHeight="1">
      <c r="A90" s="183">
        <v>74</v>
      </c>
      <c r="B90" s="183"/>
      <c r="C90" s="188"/>
      <c r="D90" s="81"/>
      <c r="E90" s="151"/>
      <c r="F90" s="191"/>
      <c r="G90" s="80" t="s">
        <v>492</v>
      </c>
      <c r="H90" s="183"/>
      <c r="I90" s="183" t="s">
        <v>493</v>
      </c>
      <c r="J90" s="184" t="s">
        <v>348</v>
      </c>
      <c r="K90" s="183"/>
      <c r="L90" s="183"/>
    </row>
    <row r="91" spans="1:12" ht="112.5" customHeight="1">
      <c r="A91" s="183"/>
      <c r="B91" s="183"/>
      <c r="C91" s="183"/>
      <c r="D91" s="81"/>
      <c r="E91" s="151" t="s">
        <v>506</v>
      </c>
      <c r="F91" s="191" t="s">
        <v>503</v>
      </c>
      <c r="G91" s="123" t="s">
        <v>495</v>
      </c>
      <c r="H91" s="183"/>
      <c r="I91" s="183" t="s">
        <v>474</v>
      </c>
      <c r="J91" s="184" t="s">
        <v>348</v>
      </c>
      <c r="K91" s="183"/>
      <c r="L91" s="183"/>
    </row>
    <row r="92" spans="1:12" ht="91.5" customHeight="1">
      <c r="A92" s="183">
        <v>75</v>
      </c>
      <c r="B92" s="183"/>
      <c r="C92" s="151"/>
      <c r="D92" s="81"/>
      <c r="E92" s="151"/>
      <c r="F92" s="191"/>
      <c r="G92" s="80" t="s">
        <v>507</v>
      </c>
      <c r="H92" s="183"/>
      <c r="I92" s="183" t="s">
        <v>425</v>
      </c>
      <c r="J92" s="184" t="s">
        <v>348</v>
      </c>
      <c r="K92" s="183"/>
      <c r="L92" s="183"/>
    </row>
    <row r="93" spans="1:12" ht="76.5" customHeight="1">
      <c r="A93" s="183">
        <v>76</v>
      </c>
      <c r="B93" s="183"/>
      <c r="C93" s="188"/>
      <c r="D93" s="81"/>
      <c r="E93" s="151"/>
      <c r="F93" s="191"/>
      <c r="G93" s="80" t="s">
        <v>488</v>
      </c>
      <c r="H93" s="183"/>
      <c r="I93" s="183" t="s">
        <v>489</v>
      </c>
      <c r="J93" s="184" t="s">
        <v>348</v>
      </c>
      <c r="K93" s="183"/>
      <c r="L93" s="183"/>
    </row>
    <row r="94" spans="1:12" ht="76.5" customHeight="1">
      <c r="A94" s="183">
        <v>77</v>
      </c>
      <c r="B94" s="183"/>
      <c r="C94" s="188"/>
      <c r="D94" s="81"/>
      <c r="E94" s="151"/>
      <c r="F94" s="191"/>
      <c r="G94" s="80" t="s">
        <v>490</v>
      </c>
      <c r="H94" s="183"/>
      <c r="I94" s="183" t="s">
        <v>491</v>
      </c>
      <c r="J94" s="184" t="s">
        <v>348</v>
      </c>
      <c r="K94" s="183"/>
      <c r="L94" s="183"/>
    </row>
    <row r="95" spans="1:12" ht="76.5" customHeight="1">
      <c r="A95" s="183">
        <v>78</v>
      </c>
      <c r="B95" s="183"/>
      <c r="C95" s="188"/>
      <c r="D95" s="81"/>
      <c r="E95" s="151"/>
      <c r="F95" s="191"/>
      <c r="G95" s="80" t="s">
        <v>492</v>
      </c>
      <c r="H95" s="183"/>
      <c r="I95" s="183" t="s">
        <v>493</v>
      </c>
      <c r="J95" s="184" t="s">
        <v>348</v>
      </c>
      <c r="K95" s="183"/>
      <c r="L95" s="183"/>
    </row>
    <row r="96" spans="1:12" ht="76.5" customHeight="1">
      <c r="A96" s="183"/>
      <c r="B96" s="183"/>
      <c r="C96" s="183"/>
      <c r="D96" s="81"/>
      <c r="E96" s="151" t="s">
        <v>508</v>
      </c>
      <c r="F96" s="191" t="s">
        <v>509</v>
      </c>
      <c r="G96" s="123" t="s">
        <v>504</v>
      </c>
      <c r="H96" s="183"/>
      <c r="I96" s="183" t="s">
        <v>474</v>
      </c>
      <c r="J96" s="184" t="s">
        <v>348</v>
      </c>
      <c r="K96" s="183"/>
      <c r="L96" s="183"/>
    </row>
    <row r="97" spans="1:12" ht="92.25" customHeight="1">
      <c r="A97" s="183">
        <v>79</v>
      </c>
      <c r="B97" s="183"/>
      <c r="C97" s="151"/>
      <c r="D97" s="81"/>
      <c r="E97" s="151"/>
      <c r="F97" s="191"/>
      <c r="G97" s="80" t="s">
        <v>510</v>
      </c>
      <c r="H97" s="183"/>
      <c r="I97" s="183" t="s">
        <v>425</v>
      </c>
      <c r="J97" s="184" t="s">
        <v>348</v>
      </c>
      <c r="K97" s="183"/>
      <c r="L97" s="183"/>
    </row>
    <row r="98" spans="1:12" ht="76.5" customHeight="1">
      <c r="A98" s="183">
        <v>80</v>
      </c>
      <c r="B98" s="183"/>
      <c r="C98" s="188"/>
      <c r="D98" s="81"/>
      <c r="E98" s="151"/>
      <c r="F98" s="191"/>
      <c r="G98" s="80" t="s">
        <v>488</v>
      </c>
      <c r="H98" s="183"/>
      <c r="I98" s="183" t="s">
        <v>489</v>
      </c>
      <c r="J98" s="184" t="s">
        <v>348</v>
      </c>
      <c r="K98" s="183"/>
      <c r="L98" s="83"/>
    </row>
    <row r="99" spans="1:12" ht="76.5" customHeight="1">
      <c r="A99" s="183">
        <v>81</v>
      </c>
      <c r="B99" s="183"/>
      <c r="C99" s="188"/>
      <c r="D99" s="81"/>
      <c r="E99" s="151"/>
      <c r="F99" s="191"/>
      <c r="G99" s="80" t="s">
        <v>490</v>
      </c>
      <c r="H99" s="183"/>
      <c r="I99" s="183" t="s">
        <v>491</v>
      </c>
      <c r="J99" s="184" t="s">
        <v>348</v>
      </c>
      <c r="K99" s="183"/>
      <c r="L99" s="83"/>
    </row>
    <row r="100" spans="1:12" ht="76.5" customHeight="1">
      <c r="A100" s="183">
        <v>82</v>
      </c>
      <c r="B100" s="183"/>
      <c r="C100" s="188"/>
      <c r="D100" s="81"/>
      <c r="E100" s="151"/>
      <c r="F100" s="191"/>
      <c r="G100" s="80" t="s">
        <v>511</v>
      </c>
      <c r="H100" s="183"/>
      <c r="I100" s="183" t="s">
        <v>493</v>
      </c>
      <c r="J100" s="184" t="s">
        <v>348</v>
      </c>
      <c r="K100" s="183"/>
      <c r="L100" s="83"/>
    </row>
    <row r="101" spans="1:12" ht="76.5" customHeight="1">
      <c r="A101" s="183"/>
      <c r="B101" s="183"/>
      <c r="C101" s="183"/>
      <c r="D101" s="81"/>
      <c r="E101" s="151" t="s">
        <v>512</v>
      </c>
      <c r="F101" s="191" t="s">
        <v>513</v>
      </c>
      <c r="G101" s="123" t="s">
        <v>495</v>
      </c>
      <c r="H101" s="183"/>
      <c r="I101" s="183" t="s">
        <v>474</v>
      </c>
      <c r="J101" s="184" t="s">
        <v>348</v>
      </c>
      <c r="K101" s="183"/>
      <c r="L101" s="83"/>
    </row>
    <row r="102" spans="1:12" ht="91.5" customHeight="1">
      <c r="A102" s="183">
        <v>83</v>
      </c>
      <c r="B102" s="183"/>
      <c r="C102" s="151"/>
      <c r="D102" s="81"/>
      <c r="E102" s="151"/>
      <c r="F102" s="191"/>
      <c r="G102" s="80" t="s">
        <v>514</v>
      </c>
      <c r="H102" s="183"/>
      <c r="I102" s="183" t="s">
        <v>425</v>
      </c>
      <c r="J102" s="184" t="s">
        <v>348</v>
      </c>
      <c r="K102" s="183"/>
      <c r="L102" s="183"/>
    </row>
    <row r="103" spans="1:12" ht="76.5" customHeight="1">
      <c r="A103" s="183">
        <v>84</v>
      </c>
      <c r="B103" s="183"/>
      <c r="C103" s="188"/>
      <c r="D103" s="81"/>
      <c r="E103" s="151"/>
      <c r="F103" s="191"/>
      <c r="G103" s="80" t="s">
        <v>488</v>
      </c>
      <c r="H103" s="183"/>
      <c r="I103" s="183" t="s">
        <v>489</v>
      </c>
      <c r="J103" s="184" t="s">
        <v>348</v>
      </c>
      <c r="K103" s="183"/>
      <c r="L103" s="183"/>
    </row>
    <row r="104" spans="1:12" ht="76.5" customHeight="1">
      <c r="A104" s="183">
        <v>85</v>
      </c>
      <c r="B104" s="183"/>
      <c r="C104" s="188"/>
      <c r="D104" s="81"/>
      <c r="E104" s="151"/>
      <c r="F104" s="191"/>
      <c r="G104" s="80" t="s">
        <v>490</v>
      </c>
      <c r="H104" s="183"/>
      <c r="I104" s="183" t="s">
        <v>491</v>
      </c>
      <c r="J104" s="184" t="s">
        <v>348</v>
      </c>
      <c r="K104" s="183"/>
      <c r="L104" s="183"/>
    </row>
    <row r="105" spans="1:12" ht="76.5" customHeight="1">
      <c r="A105" s="183">
        <v>86</v>
      </c>
      <c r="B105" s="183"/>
      <c r="C105" s="188"/>
      <c r="D105" s="81"/>
      <c r="E105" s="151"/>
      <c r="F105" s="191"/>
      <c r="G105" s="80" t="s">
        <v>492</v>
      </c>
      <c r="H105" s="183"/>
      <c r="I105" s="183" t="s">
        <v>493</v>
      </c>
      <c r="J105" s="184" t="s">
        <v>348</v>
      </c>
      <c r="K105" s="183"/>
      <c r="L105" s="83" t="s">
        <v>515</v>
      </c>
    </row>
    <row r="106" spans="1:12" ht="43.5" customHeight="1">
      <c r="A106" s="183">
        <v>87</v>
      </c>
      <c r="B106" s="183"/>
      <c r="C106" s="183"/>
      <c r="D106" s="183"/>
      <c r="E106" s="183" t="s">
        <v>516</v>
      </c>
      <c r="F106" s="183" t="s">
        <v>516</v>
      </c>
      <c r="G106" s="135" t="s">
        <v>517</v>
      </c>
      <c r="H106" s="183"/>
      <c r="I106" s="135" t="s">
        <v>518</v>
      </c>
      <c r="J106" s="183" t="s">
        <v>2</v>
      </c>
      <c r="K106" s="183"/>
      <c r="L106" s="183"/>
    </row>
    <row r="107" spans="1:12" ht="60.75" customHeight="1">
      <c r="A107" s="183">
        <v>88</v>
      </c>
      <c r="B107" s="183" t="s">
        <v>342</v>
      </c>
      <c r="C107" s="183"/>
      <c r="D107" s="183"/>
      <c r="E107" s="183" t="s">
        <v>519</v>
      </c>
      <c r="F107" s="183" t="s">
        <v>520</v>
      </c>
      <c r="G107" s="183" t="s">
        <v>521</v>
      </c>
      <c r="H107" s="183"/>
      <c r="I107" s="183" t="s">
        <v>522</v>
      </c>
      <c r="J107" s="183" t="s">
        <v>2</v>
      </c>
      <c r="K107" s="183"/>
      <c r="L107" s="183"/>
    </row>
    <row r="108" spans="1:12" ht="60.75" customHeight="1">
      <c r="A108" s="183"/>
      <c r="B108" s="183"/>
      <c r="C108" s="183"/>
      <c r="D108" s="183"/>
      <c r="E108" s="191" t="s">
        <v>523</v>
      </c>
      <c r="F108" s="191" t="s">
        <v>524</v>
      </c>
      <c r="G108" s="123" t="s">
        <v>525</v>
      </c>
      <c r="H108" s="183"/>
      <c r="I108" s="183" t="s">
        <v>526</v>
      </c>
      <c r="J108" s="184" t="s">
        <v>348</v>
      </c>
      <c r="K108" s="183"/>
      <c r="L108" s="183"/>
    </row>
    <row r="109" spans="1:12" ht="60.75" customHeight="1">
      <c r="A109" s="183"/>
      <c r="B109" s="183"/>
      <c r="C109" s="183"/>
      <c r="D109" s="183"/>
      <c r="E109" s="191"/>
      <c r="F109" s="191"/>
      <c r="G109" s="123" t="s">
        <v>527</v>
      </c>
      <c r="H109" s="183"/>
      <c r="I109" s="183" t="s">
        <v>528</v>
      </c>
      <c r="J109" s="184" t="s">
        <v>348</v>
      </c>
      <c r="K109" s="183"/>
      <c r="L109" s="183"/>
    </row>
    <row r="110" spans="1:12" ht="60.75" customHeight="1">
      <c r="A110" s="183">
        <v>89</v>
      </c>
      <c r="B110" s="183"/>
      <c r="C110" s="191" t="s">
        <v>529</v>
      </c>
      <c r="D110" s="187"/>
      <c r="E110" s="191"/>
      <c r="F110" s="191"/>
      <c r="G110" s="183" t="s">
        <v>530</v>
      </c>
      <c r="H110" s="183"/>
      <c r="I110" s="183" t="s">
        <v>531</v>
      </c>
      <c r="J110" s="184" t="s">
        <v>348</v>
      </c>
      <c r="K110" s="183"/>
      <c r="L110" s="183"/>
    </row>
    <row r="111" spans="1:12" ht="176.25" customHeight="1">
      <c r="A111" s="183">
        <v>90</v>
      </c>
      <c r="B111" s="183"/>
      <c r="C111" s="188"/>
      <c r="D111" s="187"/>
      <c r="E111" s="191"/>
      <c r="F111" s="191"/>
      <c r="G111" s="183" t="s">
        <v>532</v>
      </c>
      <c r="H111" s="183"/>
      <c r="I111" s="183" t="s">
        <v>533</v>
      </c>
      <c r="J111" s="184" t="s">
        <v>348</v>
      </c>
      <c r="K111" s="183"/>
      <c r="L111" s="183"/>
    </row>
    <row r="112" spans="1:12" ht="45.75" customHeight="1">
      <c r="A112" s="183">
        <v>91</v>
      </c>
      <c r="B112" s="183"/>
      <c r="C112" s="191" t="s">
        <v>342</v>
      </c>
      <c r="D112" s="187"/>
      <c r="E112" s="155" t="s">
        <v>534</v>
      </c>
      <c r="F112" s="141" t="s">
        <v>535</v>
      </c>
      <c r="G112" s="183" t="s">
        <v>536</v>
      </c>
      <c r="H112" s="183"/>
      <c r="I112" s="183" t="s">
        <v>537</v>
      </c>
      <c r="J112" s="184" t="s">
        <v>348</v>
      </c>
      <c r="K112" s="183"/>
      <c r="L112" s="183"/>
    </row>
    <row r="113" spans="1:12" ht="60.75" customHeight="1">
      <c r="A113" s="183">
        <v>92</v>
      </c>
      <c r="B113" s="183"/>
      <c r="C113" s="188"/>
      <c r="D113" s="187"/>
      <c r="E113" s="155"/>
      <c r="F113" s="141"/>
      <c r="G113" s="183" t="s">
        <v>538</v>
      </c>
      <c r="H113" s="183"/>
      <c r="I113" s="183" t="s">
        <v>539</v>
      </c>
      <c r="J113" s="184" t="s">
        <v>348</v>
      </c>
      <c r="K113" s="183"/>
      <c r="L113" s="183"/>
    </row>
    <row r="114" spans="1:12" ht="45.75" customHeight="1">
      <c r="A114" s="183">
        <v>93</v>
      </c>
      <c r="B114" s="183"/>
      <c r="C114" s="188"/>
      <c r="D114" s="187"/>
      <c r="E114" s="155"/>
      <c r="F114" s="141"/>
      <c r="G114" s="123" t="s">
        <v>540</v>
      </c>
      <c r="I114" s="1" t="s">
        <v>541</v>
      </c>
      <c r="J114" s="184" t="s">
        <v>348</v>
      </c>
      <c r="K114" s="183"/>
      <c r="L114" s="183"/>
    </row>
    <row r="115" spans="1:12" ht="76.5" customHeight="1">
      <c r="A115" s="183">
        <v>94</v>
      </c>
      <c r="B115" s="183"/>
      <c r="C115" s="188"/>
      <c r="D115" s="187"/>
      <c r="E115" s="155"/>
      <c r="F115" s="141"/>
      <c r="G115" s="183" t="s">
        <v>542</v>
      </c>
      <c r="I115" s="183" t="s">
        <v>543</v>
      </c>
      <c r="J115" s="184" t="s">
        <v>348</v>
      </c>
      <c r="K115" s="183"/>
      <c r="L115" s="183"/>
    </row>
    <row r="116" spans="1:12" ht="30.75" customHeight="1">
      <c r="A116" s="183">
        <v>95</v>
      </c>
      <c r="B116" s="183"/>
      <c r="C116" s="188"/>
      <c r="D116" s="187"/>
      <c r="E116" s="155"/>
      <c r="F116" s="141"/>
      <c r="G116" s="183" t="s">
        <v>544</v>
      </c>
      <c r="H116" s="183"/>
      <c r="I116" s="183" t="s">
        <v>545</v>
      </c>
      <c r="J116" s="184" t="s">
        <v>348</v>
      </c>
      <c r="K116" s="183"/>
      <c r="L116" s="183"/>
    </row>
    <row r="117" spans="1:12" ht="91.5" customHeight="1">
      <c r="A117" s="183">
        <v>96</v>
      </c>
      <c r="B117" s="183"/>
      <c r="C117" s="188"/>
      <c r="D117" s="187"/>
      <c r="E117" s="155"/>
      <c r="F117" s="141"/>
      <c r="G117" s="183" t="s">
        <v>546</v>
      </c>
      <c r="H117" s="183"/>
      <c r="I117" s="183" t="s">
        <v>547</v>
      </c>
      <c r="J117" s="184" t="s">
        <v>348</v>
      </c>
      <c r="K117" s="183"/>
      <c r="L117" s="183"/>
    </row>
    <row r="118" spans="1:12" ht="45.75" customHeight="1">
      <c r="A118" s="183">
        <v>97</v>
      </c>
      <c r="B118" s="183"/>
      <c r="C118" s="188"/>
      <c r="D118" s="187"/>
      <c r="E118" s="155"/>
      <c r="F118" s="141"/>
      <c r="G118" s="183" t="s">
        <v>548</v>
      </c>
      <c r="H118" s="183"/>
      <c r="I118" s="183" t="s">
        <v>549</v>
      </c>
      <c r="J118" s="184" t="s">
        <v>348</v>
      </c>
      <c r="K118" s="183"/>
      <c r="L118" s="183"/>
    </row>
    <row r="119" spans="1:12" ht="60.75" customHeight="1">
      <c r="A119" s="183">
        <v>98</v>
      </c>
      <c r="B119" s="183"/>
      <c r="C119" s="188"/>
      <c r="D119" s="187"/>
      <c r="E119" s="155"/>
      <c r="F119" s="141"/>
      <c r="G119" s="1" t="s">
        <v>550</v>
      </c>
      <c r="I119" s="1" t="s">
        <v>551</v>
      </c>
      <c r="J119" s="16" t="s">
        <v>348</v>
      </c>
      <c r="K119" s="183"/>
      <c r="L119" s="183"/>
    </row>
    <row r="120" spans="1:12" ht="60.75" customHeight="1">
      <c r="A120" s="183"/>
      <c r="B120" s="183"/>
      <c r="C120" s="183"/>
      <c r="D120" s="187"/>
      <c r="E120" s="155"/>
      <c r="F120" s="141"/>
      <c r="G120" s="1" t="s">
        <v>552</v>
      </c>
      <c r="H120" s="183"/>
      <c r="I120" s="1" t="s">
        <v>553</v>
      </c>
      <c r="J120" s="16" t="s">
        <v>348</v>
      </c>
      <c r="K120" s="183"/>
      <c r="L120" s="183"/>
    </row>
    <row r="121" spans="1:12" ht="60.75" customHeight="1">
      <c r="A121" s="183"/>
      <c r="B121" s="183"/>
      <c r="C121" s="183"/>
      <c r="D121" s="187"/>
      <c r="E121" s="155"/>
      <c r="F121" s="141"/>
      <c r="G121" s="183" t="s">
        <v>554</v>
      </c>
      <c r="H121" s="183"/>
      <c r="I121" s="183" t="s">
        <v>555</v>
      </c>
      <c r="J121" s="16" t="s">
        <v>348</v>
      </c>
      <c r="K121" s="183"/>
      <c r="L121" s="183"/>
    </row>
    <row r="122" spans="1:12" ht="111.75" customHeight="1">
      <c r="A122" s="183"/>
      <c r="B122" s="183"/>
      <c r="C122" s="183"/>
      <c r="D122" s="187"/>
      <c r="E122" s="155"/>
      <c r="F122" s="141"/>
      <c r="G122" s="183" t="s">
        <v>556</v>
      </c>
      <c r="H122" s="183"/>
      <c r="I122" s="183" t="s">
        <v>557</v>
      </c>
      <c r="J122" s="16" t="s">
        <v>348</v>
      </c>
      <c r="K122" s="183"/>
      <c r="L122" s="183"/>
    </row>
    <row r="123" spans="1:12" ht="60.75" customHeight="1">
      <c r="A123" s="183"/>
      <c r="B123" s="183"/>
      <c r="C123" s="183"/>
      <c r="D123" s="187"/>
      <c r="E123" s="155"/>
      <c r="F123" s="141"/>
      <c r="G123" s="183" t="s">
        <v>558</v>
      </c>
      <c r="H123" s="183"/>
      <c r="I123" s="183" t="s">
        <v>559</v>
      </c>
      <c r="J123" s="16" t="s">
        <v>348</v>
      </c>
      <c r="K123" s="183"/>
      <c r="L123" s="183"/>
    </row>
    <row r="124" spans="1:12" ht="60.75" customHeight="1">
      <c r="A124" s="183"/>
      <c r="B124" s="183"/>
      <c r="C124" s="183"/>
      <c r="D124" s="187"/>
      <c r="E124" s="155"/>
      <c r="F124" s="141"/>
      <c r="G124" s="183" t="s">
        <v>560</v>
      </c>
      <c r="H124" s="183"/>
      <c r="I124" s="183" t="s">
        <v>561</v>
      </c>
      <c r="J124" s="16" t="s">
        <v>348</v>
      </c>
      <c r="K124" s="183"/>
      <c r="L124" s="183"/>
    </row>
    <row r="125" spans="1:12" ht="60.75" customHeight="1">
      <c r="A125" s="183"/>
      <c r="B125" s="183"/>
      <c r="C125" s="183"/>
      <c r="D125" s="187"/>
      <c r="E125" s="155"/>
      <c r="F125" s="141"/>
      <c r="G125" s="183" t="s">
        <v>562</v>
      </c>
      <c r="H125" s="183"/>
      <c r="I125" s="183" t="s">
        <v>563</v>
      </c>
      <c r="J125" s="16" t="s">
        <v>348</v>
      </c>
      <c r="K125" s="183"/>
      <c r="L125" s="183"/>
    </row>
    <row r="126" spans="1:12" ht="60.75" customHeight="1">
      <c r="A126" s="183"/>
      <c r="B126" s="183"/>
      <c r="C126" s="183"/>
      <c r="D126" s="187"/>
      <c r="E126" s="155"/>
      <c r="F126" s="141"/>
      <c r="G126" s="183" t="s">
        <v>564</v>
      </c>
      <c r="H126" s="183"/>
      <c r="I126" s="183" t="s">
        <v>565</v>
      </c>
      <c r="J126" s="16" t="s">
        <v>348</v>
      </c>
      <c r="K126" s="183"/>
      <c r="L126" s="183"/>
    </row>
    <row r="127" spans="1:12" ht="60.75" customHeight="1">
      <c r="A127" s="183"/>
      <c r="B127" s="183"/>
      <c r="C127" s="183"/>
      <c r="D127" s="187"/>
      <c r="E127" s="155"/>
      <c r="F127" s="141"/>
      <c r="G127" s="183" t="s">
        <v>566</v>
      </c>
      <c r="H127" s="183"/>
      <c r="I127" s="183" t="s">
        <v>567</v>
      </c>
      <c r="J127" s="16" t="s">
        <v>348</v>
      </c>
      <c r="K127" s="183"/>
      <c r="L127" s="183"/>
    </row>
    <row r="128" spans="1:12" ht="60.75" customHeight="1">
      <c r="A128" s="183"/>
      <c r="B128" s="183"/>
      <c r="C128" s="183"/>
      <c r="D128" s="187"/>
      <c r="E128" s="155"/>
      <c r="F128" s="141"/>
      <c r="G128" s="183" t="s">
        <v>568</v>
      </c>
      <c r="H128" s="183"/>
      <c r="I128" s="183" t="s">
        <v>569</v>
      </c>
      <c r="J128" s="16" t="s">
        <v>348</v>
      </c>
      <c r="K128" s="183"/>
      <c r="L128" s="183"/>
    </row>
    <row r="129" spans="1:12" ht="60.75" customHeight="1">
      <c r="A129" s="183"/>
      <c r="B129" s="183"/>
      <c r="C129" s="183"/>
      <c r="D129" s="187"/>
      <c r="E129" s="155"/>
      <c r="F129" s="141"/>
      <c r="G129" s="183" t="s">
        <v>570</v>
      </c>
      <c r="H129" s="183"/>
      <c r="I129" s="183" t="s">
        <v>571</v>
      </c>
      <c r="J129" s="16" t="s">
        <v>348</v>
      </c>
      <c r="K129" s="183"/>
      <c r="L129" s="183"/>
    </row>
    <row r="130" spans="1:12" ht="60.75" customHeight="1">
      <c r="A130" s="183"/>
      <c r="B130" s="183"/>
      <c r="C130" s="183"/>
      <c r="D130" s="187"/>
      <c r="E130" s="155"/>
      <c r="F130" s="141"/>
      <c r="G130" s="183" t="s">
        <v>572</v>
      </c>
      <c r="H130" s="183"/>
      <c r="I130" s="183" t="s">
        <v>573</v>
      </c>
      <c r="J130" s="16" t="s">
        <v>348</v>
      </c>
      <c r="K130" s="183"/>
      <c r="L130" s="183"/>
    </row>
    <row r="131" spans="1:12" ht="60.75" customHeight="1">
      <c r="A131" s="183"/>
      <c r="B131" s="183"/>
      <c r="C131" s="183"/>
      <c r="D131" s="187"/>
      <c r="E131" s="151" t="s">
        <v>574</v>
      </c>
      <c r="F131" s="191" t="s">
        <v>575</v>
      </c>
      <c r="G131" s="183" t="s">
        <v>576</v>
      </c>
      <c r="H131" s="183"/>
      <c r="I131" s="183" t="s">
        <v>561</v>
      </c>
      <c r="J131" s="16" t="s">
        <v>348</v>
      </c>
      <c r="K131" s="183"/>
      <c r="L131" s="183"/>
    </row>
    <row r="132" spans="1:12" ht="60.75" customHeight="1">
      <c r="A132" s="183"/>
      <c r="B132" s="183"/>
      <c r="C132" s="183"/>
      <c r="D132" s="187"/>
      <c r="E132" s="191"/>
      <c r="F132" s="191"/>
      <c r="G132" s="123" t="s">
        <v>577</v>
      </c>
      <c r="H132" s="183"/>
      <c r="I132" s="183" t="s">
        <v>578</v>
      </c>
      <c r="J132" s="16" t="s">
        <v>348</v>
      </c>
      <c r="K132" s="183"/>
      <c r="L132" s="183"/>
    </row>
    <row r="133" spans="1:12" ht="60.75" customHeight="1">
      <c r="A133" s="183">
        <v>99</v>
      </c>
      <c r="B133" s="183"/>
      <c r="C133" s="191" t="s">
        <v>579</v>
      </c>
      <c r="D133" s="187"/>
      <c r="E133" s="191"/>
      <c r="F133" s="191"/>
      <c r="G133" s="80" t="s">
        <v>580</v>
      </c>
      <c r="H133" s="183"/>
      <c r="I133" s="183" t="s">
        <v>581</v>
      </c>
      <c r="J133" s="16" t="s">
        <v>348</v>
      </c>
      <c r="K133" s="183"/>
      <c r="L133" s="183"/>
    </row>
    <row r="134" spans="1:12" ht="60.75" customHeight="1">
      <c r="A134" s="183"/>
      <c r="B134" s="183"/>
      <c r="C134" s="191"/>
      <c r="D134" s="187"/>
      <c r="E134" s="191"/>
      <c r="F134" s="191"/>
      <c r="G134" s="37" t="s">
        <v>582</v>
      </c>
      <c r="H134" s="183"/>
      <c r="I134" s="183" t="s">
        <v>583</v>
      </c>
      <c r="J134" s="16" t="s">
        <v>348</v>
      </c>
      <c r="K134" s="183"/>
      <c r="L134" s="183"/>
    </row>
    <row r="135" spans="1:12" ht="60.75" customHeight="1">
      <c r="A135" s="183"/>
      <c r="B135" s="183"/>
      <c r="C135" s="191"/>
      <c r="D135" s="187"/>
      <c r="E135" s="191"/>
      <c r="F135" s="191"/>
      <c r="G135" s="37" t="s">
        <v>584</v>
      </c>
      <c r="H135" s="183"/>
      <c r="I135" s="183" t="s">
        <v>585</v>
      </c>
      <c r="J135" s="16" t="s">
        <v>348</v>
      </c>
      <c r="K135" s="183"/>
      <c r="L135" s="183"/>
    </row>
    <row r="136" spans="1:12" ht="76.5" customHeight="1">
      <c r="A136" s="183">
        <v>100</v>
      </c>
      <c r="B136" s="183"/>
      <c r="C136" s="188"/>
      <c r="D136" s="187"/>
      <c r="E136" s="191"/>
      <c r="F136" s="191"/>
      <c r="G136" s="80" t="s">
        <v>586</v>
      </c>
      <c r="H136" s="183"/>
      <c r="I136" s="183" t="s">
        <v>587</v>
      </c>
      <c r="J136" s="16" t="s">
        <v>348</v>
      </c>
      <c r="K136" s="183"/>
      <c r="L136" s="183"/>
    </row>
    <row r="137" spans="1:12" ht="76.5" customHeight="1">
      <c r="A137" s="183"/>
      <c r="B137" s="183"/>
      <c r="C137" s="183"/>
      <c r="D137" s="187"/>
      <c r="E137" s="151" t="s">
        <v>588</v>
      </c>
      <c r="F137" s="191" t="s">
        <v>575</v>
      </c>
      <c r="G137" s="183" t="s">
        <v>576</v>
      </c>
      <c r="H137" s="183"/>
      <c r="I137" s="183" t="s">
        <v>561</v>
      </c>
      <c r="J137" s="16" t="s">
        <v>348</v>
      </c>
      <c r="K137" s="183"/>
      <c r="L137" s="183"/>
    </row>
    <row r="138" spans="1:12" ht="76.5" customHeight="1">
      <c r="A138" s="183"/>
      <c r="B138" s="183"/>
      <c r="C138" s="183"/>
      <c r="D138" s="187"/>
      <c r="E138" s="151"/>
      <c r="F138" s="191"/>
      <c r="G138" s="123" t="s">
        <v>577</v>
      </c>
      <c r="H138" s="183"/>
      <c r="I138" s="183" t="s">
        <v>578</v>
      </c>
      <c r="J138" s="16" t="s">
        <v>348</v>
      </c>
      <c r="K138" s="183"/>
      <c r="L138" s="183"/>
    </row>
    <row r="139" spans="1:12" ht="76.5" customHeight="1">
      <c r="A139" s="183"/>
      <c r="B139" s="183"/>
      <c r="C139" s="183"/>
      <c r="D139" s="187"/>
      <c r="E139" s="151"/>
      <c r="F139" s="191"/>
      <c r="G139" s="123" t="s">
        <v>589</v>
      </c>
      <c r="H139" s="183"/>
      <c r="I139" s="183" t="s">
        <v>583</v>
      </c>
      <c r="J139" s="16" t="s">
        <v>348</v>
      </c>
      <c r="K139" s="183"/>
      <c r="L139" s="183"/>
    </row>
    <row r="140" spans="1:12" ht="86.25" customHeight="1">
      <c r="A140" s="183">
        <v>101</v>
      </c>
      <c r="B140" s="183"/>
      <c r="C140" s="191" t="s">
        <v>579</v>
      </c>
      <c r="D140" s="187"/>
      <c r="E140" s="151"/>
      <c r="F140" s="191"/>
      <c r="G140" s="80" t="s">
        <v>590</v>
      </c>
      <c r="H140" s="183"/>
      <c r="I140" s="183" t="s">
        <v>585</v>
      </c>
      <c r="J140" s="16" t="s">
        <v>348</v>
      </c>
      <c r="K140" s="183"/>
      <c r="L140" s="183"/>
    </row>
    <row r="141" spans="1:12" ht="76.5" customHeight="1">
      <c r="A141" s="183">
        <v>102</v>
      </c>
      <c r="B141" s="183"/>
      <c r="C141" s="188"/>
      <c r="D141" s="187"/>
      <c r="E141" s="151"/>
      <c r="F141" s="191"/>
      <c r="G141" s="80" t="s">
        <v>591</v>
      </c>
      <c r="H141" s="183"/>
      <c r="I141" s="183" t="s">
        <v>587</v>
      </c>
      <c r="J141" s="16" t="s">
        <v>348</v>
      </c>
      <c r="K141" s="183"/>
      <c r="L141" s="183"/>
    </row>
    <row r="142" spans="1:12" ht="76.5" customHeight="1">
      <c r="A142" s="183"/>
      <c r="B142" s="183"/>
      <c r="C142" s="183"/>
      <c r="D142" s="187"/>
      <c r="E142" s="191" t="s">
        <v>592</v>
      </c>
      <c r="F142" s="191" t="s">
        <v>575</v>
      </c>
      <c r="G142" s="123" t="s">
        <v>525</v>
      </c>
      <c r="H142" s="183"/>
      <c r="I142" s="183" t="s">
        <v>578</v>
      </c>
      <c r="J142" s="16" t="s">
        <v>348</v>
      </c>
      <c r="K142" s="183"/>
      <c r="L142" s="183"/>
    </row>
    <row r="143" spans="1:12" ht="91.5" customHeight="1">
      <c r="A143" s="183">
        <v>103</v>
      </c>
      <c r="B143" s="183"/>
      <c r="C143" s="183" t="s">
        <v>342</v>
      </c>
      <c r="D143" s="183"/>
      <c r="E143" s="191"/>
      <c r="F143" s="191"/>
      <c r="G143" s="80" t="s">
        <v>593</v>
      </c>
      <c r="H143" s="183"/>
      <c r="I143" s="183" t="s">
        <v>594</v>
      </c>
      <c r="J143" s="16" t="s">
        <v>348</v>
      </c>
      <c r="K143" s="183"/>
      <c r="L143" s="183"/>
    </row>
    <row r="144" spans="1:12" ht="91.5" customHeight="1">
      <c r="A144" s="183"/>
      <c r="B144" s="183"/>
      <c r="C144" s="183"/>
      <c r="D144" s="183"/>
      <c r="E144" s="191" t="s">
        <v>595</v>
      </c>
      <c r="F144" s="191" t="s">
        <v>596</v>
      </c>
      <c r="G144" s="123" t="s">
        <v>525</v>
      </c>
      <c r="H144" s="183"/>
      <c r="I144" s="183" t="s">
        <v>578</v>
      </c>
      <c r="J144" s="16" t="s">
        <v>348</v>
      </c>
      <c r="K144" s="183"/>
      <c r="L144" s="183"/>
    </row>
    <row r="145" spans="1:12" ht="76.5" customHeight="1">
      <c r="A145" s="183">
        <v>104</v>
      </c>
      <c r="B145" s="183"/>
      <c r="C145" s="183" t="s">
        <v>597</v>
      </c>
      <c r="D145" s="183"/>
      <c r="E145" s="191"/>
      <c r="F145" s="191"/>
      <c r="G145" s="80" t="s">
        <v>598</v>
      </c>
      <c r="H145" s="183"/>
      <c r="I145" s="183" t="s">
        <v>599</v>
      </c>
      <c r="J145" s="16" t="s">
        <v>348</v>
      </c>
      <c r="K145" s="183"/>
      <c r="L145" s="183"/>
    </row>
    <row r="146" spans="1:12" ht="76.5" customHeight="1">
      <c r="A146" s="183"/>
      <c r="B146" s="183"/>
      <c r="C146" s="183"/>
      <c r="D146" s="183"/>
      <c r="E146" s="191" t="s">
        <v>600</v>
      </c>
      <c r="F146" s="191" t="s">
        <v>575</v>
      </c>
      <c r="G146" s="123" t="s">
        <v>601</v>
      </c>
      <c r="H146" s="183"/>
      <c r="I146" s="183" t="s">
        <v>578</v>
      </c>
      <c r="J146" s="16" t="s">
        <v>348</v>
      </c>
      <c r="K146" s="183"/>
      <c r="L146" s="183"/>
    </row>
    <row r="147" spans="1:12" ht="76.5" customHeight="1">
      <c r="A147" s="183"/>
      <c r="B147" s="183"/>
      <c r="C147" s="183"/>
      <c r="D147" s="183"/>
      <c r="E147" s="191"/>
      <c r="F147" s="191"/>
      <c r="G147" s="123" t="s">
        <v>602</v>
      </c>
      <c r="H147" s="183"/>
      <c r="I147" s="183" t="s">
        <v>603</v>
      </c>
      <c r="J147" s="16" t="s">
        <v>348</v>
      </c>
      <c r="K147" s="183"/>
      <c r="L147" s="183"/>
    </row>
    <row r="148" spans="1:12" ht="76.5" customHeight="1">
      <c r="A148" s="183"/>
      <c r="B148" s="183"/>
      <c r="C148" s="183"/>
      <c r="D148" s="183"/>
      <c r="E148" s="191"/>
      <c r="F148" s="191"/>
      <c r="G148" s="80" t="s">
        <v>604</v>
      </c>
      <c r="H148" s="183"/>
      <c r="I148" s="183" t="s">
        <v>605</v>
      </c>
      <c r="J148" s="16" t="s">
        <v>348</v>
      </c>
      <c r="K148" s="183"/>
      <c r="L148" s="183"/>
    </row>
    <row r="149" spans="1:12" ht="76.5" customHeight="1">
      <c r="A149" s="183">
        <v>105</v>
      </c>
      <c r="B149" s="183"/>
      <c r="C149" s="183" t="s">
        <v>606</v>
      </c>
      <c r="D149" s="183"/>
      <c r="E149" s="191"/>
      <c r="F149" s="191"/>
      <c r="G149" s="80" t="s">
        <v>607</v>
      </c>
      <c r="H149" s="183"/>
      <c r="I149" s="183" t="s">
        <v>608</v>
      </c>
      <c r="J149" s="16" t="s">
        <v>348</v>
      </c>
      <c r="K149" s="183"/>
      <c r="L149" s="183"/>
    </row>
    <row r="150" spans="1:12" ht="30.75" customHeight="1">
      <c r="A150" s="183">
        <v>106</v>
      </c>
      <c r="B150" s="183"/>
      <c r="C150" s="183"/>
      <c r="D150" s="183"/>
      <c r="E150" s="183" t="s">
        <v>609</v>
      </c>
      <c r="F150" s="183" t="s">
        <v>610</v>
      </c>
      <c r="G150" s="183" t="s">
        <v>611</v>
      </c>
      <c r="H150" s="183"/>
      <c r="I150" s="183" t="s">
        <v>612</v>
      </c>
      <c r="J150" s="16" t="s">
        <v>348</v>
      </c>
      <c r="K150" s="183"/>
      <c r="L150" s="183"/>
    </row>
    <row r="151" spans="1:12" ht="30.75" customHeight="1">
      <c r="A151" s="183"/>
      <c r="B151" s="183"/>
      <c r="C151" s="183"/>
      <c r="D151" s="183"/>
      <c r="E151" s="191" t="s">
        <v>613</v>
      </c>
      <c r="F151" s="191" t="s">
        <v>614</v>
      </c>
      <c r="G151" s="123" t="s">
        <v>504</v>
      </c>
      <c r="H151" s="183"/>
      <c r="I151" s="183" t="s">
        <v>561</v>
      </c>
      <c r="J151" s="16" t="s">
        <v>348</v>
      </c>
      <c r="K151" s="183"/>
      <c r="L151" s="183"/>
    </row>
    <row r="152" spans="1:12" ht="45.75" customHeight="1">
      <c r="A152" s="183">
        <v>107</v>
      </c>
      <c r="B152" s="183"/>
      <c r="C152" s="183"/>
      <c r="D152" s="183"/>
      <c r="E152" s="191"/>
      <c r="F152" s="191"/>
      <c r="G152" s="80" t="s">
        <v>615</v>
      </c>
      <c r="H152" s="183"/>
      <c r="I152" s="183" t="s">
        <v>616</v>
      </c>
      <c r="J152" s="16" t="s">
        <v>348</v>
      </c>
      <c r="K152" s="183"/>
      <c r="L152" s="183"/>
    </row>
    <row r="153" spans="1:12" ht="30.75" customHeight="1">
      <c r="A153" s="183">
        <v>108</v>
      </c>
      <c r="B153" s="183"/>
      <c r="C153" s="183"/>
      <c r="D153" s="183"/>
      <c r="E153" s="191"/>
      <c r="F153" s="191"/>
      <c r="G153" s="183" t="s">
        <v>617</v>
      </c>
      <c r="H153" s="183"/>
      <c r="I153" s="183" t="s">
        <v>618</v>
      </c>
      <c r="J153" s="16" t="s">
        <v>348</v>
      </c>
      <c r="K153" s="183"/>
      <c r="L153" s="183"/>
    </row>
    <row r="154" spans="1:12" ht="30.75" customHeight="1">
      <c r="A154" s="183"/>
      <c r="B154" s="183"/>
      <c r="C154" s="183"/>
      <c r="D154" s="183"/>
      <c r="E154" s="191" t="s">
        <v>619</v>
      </c>
      <c r="F154" s="191" t="s">
        <v>620</v>
      </c>
      <c r="G154" s="123" t="s">
        <v>621</v>
      </c>
      <c r="H154" s="183"/>
      <c r="I154" s="183" t="s">
        <v>561</v>
      </c>
      <c r="J154" s="16" t="s">
        <v>348</v>
      </c>
      <c r="K154" s="183"/>
      <c r="L154" s="183"/>
    </row>
    <row r="155" spans="1:12" ht="45.75" customHeight="1">
      <c r="A155" s="183">
        <v>109</v>
      </c>
      <c r="B155" s="183"/>
      <c r="C155" s="183"/>
      <c r="D155" s="183"/>
      <c r="E155" s="191"/>
      <c r="F155" s="191"/>
      <c r="G155" s="80" t="s">
        <v>615</v>
      </c>
      <c r="H155" s="183"/>
      <c r="I155" s="183" t="s">
        <v>616</v>
      </c>
      <c r="J155" s="16" t="s">
        <v>348</v>
      </c>
      <c r="K155" s="183"/>
      <c r="L155" s="183"/>
    </row>
    <row r="156" spans="1:12" ht="30.75" customHeight="1">
      <c r="A156" s="183">
        <v>110</v>
      </c>
      <c r="B156" s="183"/>
      <c r="C156" s="183"/>
      <c r="D156" s="183"/>
      <c r="E156" s="191"/>
      <c r="F156" s="191"/>
      <c r="G156" s="183" t="s">
        <v>617</v>
      </c>
      <c r="H156" s="183"/>
      <c r="I156" s="183" t="s">
        <v>622</v>
      </c>
      <c r="J156" s="16" t="s">
        <v>348</v>
      </c>
      <c r="K156" s="183"/>
      <c r="L156" s="183"/>
    </row>
    <row r="157" spans="1:12" ht="30.75" customHeight="1">
      <c r="A157" s="183"/>
      <c r="B157" s="183"/>
      <c r="C157" s="183"/>
      <c r="D157" s="183"/>
      <c r="E157" s="187"/>
      <c r="F157" s="187"/>
      <c r="G157" s="123" t="s">
        <v>623</v>
      </c>
      <c r="H157" s="183"/>
      <c r="I157" s="183"/>
      <c r="J157" s="183"/>
      <c r="K157" s="183"/>
      <c r="L157" s="183"/>
    </row>
    <row r="158" spans="1:12" ht="45.75" customHeight="1">
      <c r="A158" s="183">
        <v>111</v>
      </c>
      <c r="B158" s="183"/>
      <c r="C158" s="183"/>
      <c r="D158" s="183"/>
      <c r="E158" s="152" t="s">
        <v>624</v>
      </c>
      <c r="F158" s="191" t="s">
        <v>575</v>
      </c>
      <c r="G158" s="183" t="s">
        <v>625</v>
      </c>
      <c r="H158" s="183"/>
      <c r="I158" s="183" t="s">
        <v>626</v>
      </c>
      <c r="J158" s="183" t="s">
        <v>2</v>
      </c>
      <c r="K158" s="183"/>
      <c r="L158" s="183"/>
    </row>
    <row r="159" spans="1:12">
      <c r="A159" s="183">
        <v>112</v>
      </c>
      <c r="B159" s="183"/>
      <c r="C159" s="183"/>
      <c r="D159" s="183"/>
      <c r="E159" s="188"/>
      <c r="F159" s="191"/>
      <c r="G159" s="183" t="s">
        <v>627</v>
      </c>
      <c r="H159" s="183"/>
      <c r="I159" s="183"/>
      <c r="J159" s="183" t="s">
        <v>2</v>
      </c>
      <c r="K159" s="183"/>
      <c r="L159" s="183"/>
    </row>
    <row r="160" spans="1:12" ht="30.75" customHeight="1">
      <c r="A160" s="183">
        <v>113</v>
      </c>
      <c r="B160" s="183"/>
      <c r="C160" s="183"/>
      <c r="D160" s="86"/>
      <c r="E160" s="188"/>
      <c r="F160" s="191"/>
      <c r="G160" s="183" t="s">
        <v>628</v>
      </c>
      <c r="H160" s="183"/>
      <c r="I160" s="183" t="s">
        <v>629</v>
      </c>
      <c r="J160" s="183" t="s">
        <v>2</v>
      </c>
      <c r="K160" s="183"/>
      <c r="L160" s="183"/>
    </row>
    <row r="161" spans="1:12" ht="30.75" customHeight="1">
      <c r="A161" s="183">
        <v>116</v>
      </c>
      <c r="B161" s="183"/>
      <c r="C161" s="183" t="s">
        <v>630</v>
      </c>
      <c r="D161" s="183"/>
      <c r="E161" s="151" t="s">
        <v>631</v>
      </c>
      <c r="F161" s="191" t="s">
        <v>632</v>
      </c>
      <c r="G161" s="183" t="s">
        <v>633</v>
      </c>
      <c r="H161" s="183"/>
      <c r="I161" s="1" t="s">
        <v>561</v>
      </c>
      <c r="J161" s="183" t="s">
        <v>4</v>
      </c>
      <c r="K161" s="183"/>
      <c r="L161" s="183"/>
    </row>
    <row r="162" spans="1:12" ht="30.75" customHeight="1">
      <c r="A162" s="183"/>
      <c r="B162" s="183"/>
      <c r="C162" s="183"/>
      <c r="D162" s="183"/>
      <c r="E162" s="151"/>
      <c r="F162" s="191"/>
      <c r="G162" s="183" t="s">
        <v>634</v>
      </c>
      <c r="H162" s="183"/>
      <c r="I162" s="183" t="s">
        <v>635</v>
      </c>
      <c r="J162" s="183" t="s">
        <v>4</v>
      </c>
      <c r="K162" s="183"/>
      <c r="L162" s="183"/>
    </row>
    <row r="163" spans="1:12" ht="30.75" customHeight="1">
      <c r="A163" s="183"/>
      <c r="B163" s="183"/>
      <c r="C163" s="183"/>
      <c r="D163" s="183"/>
      <c r="E163" s="191" t="s">
        <v>636</v>
      </c>
      <c r="F163" s="191" t="s">
        <v>637</v>
      </c>
      <c r="G163" s="123" t="s">
        <v>638</v>
      </c>
      <c r="H163" s="183"/>
      <c r="I163" s="1" t="s">
        <v>561</v>
      </c>
      <c r="J163" s="183" t="s">
        <v>4</v>
      </c>
      <c r="K163" s="183"/>
      <c r="L163" s="183"/>
    </row>
    <row r="164" spans="1:12" ht="30.75" customHeight="1">
      <c r="A164" s="183">
        <v>118</v>
      </c>
      <c r="B164" s="183"/>
      <c r="C164" s="183" t="s">
        <v>342</v>
      </c>
      <c r="D164" s="183"/>
      <c r="E164" s="191"/>
      <c r="F164" s="191"/>
      <c r="G164" s="80" t="s">
        <v>639</v>
      </c>
      <c r="H164" s="183"/>
      <c r="I164" s="80" t="s">
        <v>635</v>
      </c>
      <c r="J164" s="183" t="s">
        <v>4</v>
      </c>
      <c r="K164" s="183"/>
      <c r="L164" s="183"/>
    </row>
    <row r="165" spans="1:12" ht="30.75" customHeight="1">
      <c r="A165" s="183">
        <v>119</v>
      </c>
      <c r="B165" s="183"/>
      <c r="C165" s="183" t="s">
        <v>342</v>
      </c>
      <c r="D165" s="183"/>
      <c r="E165" s="191" t="s">
        <v>640</v>
      </c>
      <c r="F165" s="191" t="s">
        <v>641</v>
      </c>
      <c r="G165" s="183" t="s">
        <v>633</v>
      </c>
      <c r="H165" s="183"/>
      <c r="I165" s="1" t="s">
        <v>561</v>
      </c>
      <c r="J165" s="183" t="s">
        <v>4</v>
      </c>
      <c r="K165" s="183"/>
      <c r="L165" s="183"/>
    </row>
    <row r="166" spans="1:12" ht="30.75" customHeight="1">
      <c r="A166" s="183"/>
      <c r="B166" s="183"/>
      <c r="C166" s="183"/>
      <c r="D166" s="183"/>
      <c r="E166" s="191"/>
      <c r="F166" s="191"/>
      <c r="G166" s="123" t="s">
        <v>634</v>
      </c>
      <c r="H166" s="183"/>
      <c r="I166" s="80" t="s">
        <v>635</v>
      </c>
      <c r="J166" s="183" t="s">
        <v>4</v>
      </c>
      <c r="K166" s="183"/>
      <c r="L166" s="183"/>
    </row>
    <row r="167" spans="1:12" ht="30.75" customHeight="1">
      <c r="A167" s="183"/>
      <c r="B167" s="183"/>
      <c r="C167" s="183"/>
      <c r="D167" s="183"/>
      <c r="E167" s="191" t="s">
        <v>642</v>
      </c>
      <c r="F167" s="191" t="s">
        <v>643</v>
      </c>
      <c r="G167" s="123" t="s">
        <v>644</v>
      </c>
      <c r="H167" s="183"/>
      <c r="I167" s="1" t="s">
        <v>561</v>
      </c>
      <c r="J167" s="183" t="s">
        <v>4</v>
      </c>
      <c r="K167" s="183"/>
      <c r="L167" s="183"/>
    </row>
    <row r="168" spans="1:12" ht="30.75" customHeight="1">
      <c r="A168" s="183">
        <v>120</v>
      </c>
      <c r="B168" s="183"/>
      <c r="C168" s="183" t="s">
        <v>342</v>
      </c>
      <c r="D168" s="183"/>
      <c r="E168" s="191"/>
      <c r="F168" s="191"/>
      <c r="G168" s="80" t="s">
        <v>645</v>
      </c>
      <c r="H168" s="183"/>
      <c r="I168" s="183" t="s">
        <v>646</v>
      </c>
      <c r="J168" s="183" t="s">
        <v>4</v>
      </c>
      <c r="K168" s="183"/>
      <c r="L168" s="183"/>
    </row>
    <row r="169" spans="1:12" ht="152.25" customHeight="1">
      <c r="A169" s="183">
        <v>121</v>
      </c>
      <c r="B169" s="183"/>
      <c r="C169" s="183"/>
      <c r="D169" s="183" t="s">
        <v>167</v>
      </c>
      <c r="E169" s="132" t="s">
        <v>647</v>
      </c>
      <c r="F169" s="183" t="s">
        <v>648</v>
      </c>
      <c r="G169" s="80" t="s">
        <v>649</v>
      </c>
      <c r="H169" s="183"/>
      <c r="I169" s="183" t="s">
        <v>650</v>
      </c>
      <c r="J169" s="183" t="s">
        <v>4</v>
      </c>
      <c r="K169" s="183"/>
      <c r="L169" s="183"/>
    </row>
    <row r="170" spans="1:12" ht="152.25" customHeight="1">
      <c r="A170" s="183">
        <v>122</v>
      </c>
      <c r="B170" s="183"/>
      <c r="C170" s="183"/>
      <c r="D170" s="183" t="s">
        <v>167</v>
      </c>
      <c r="E170" s="80" t="s">
        <v>651</v>
      </c>
      <c r="F170" s="183" t="s">
        <v>652</v>
      </c>
      <c r="G170" s="80" t="s">
        <v>649</v>
      </c>
      <c r="H170" s="183"/>
      <c r="I170" s="183" t="s">
        <v>650</v>
      </c>
      <c r="J170" s="183" t="s">
        <v>4</v>
      </c>
      <c r="K170" s="183"/>
      <c r="L170" s="183"/>
    </row>
    <row r="171" spans="1:12" ht="152.25" customHeight="1">
      <c r="A171" s="183">
        <v>123</v>
      </c>
      <c r="B171" s="183"/>
      <c r="C171" s="183"/>
      <c r="D171" s="183" t="s">
        <v>167</v>
      </c>
      <c r="E171" s="80" t="s">
        <v>653</v>
      </c>
      <c r="F171" s="183" t="s">
        <v>654</v>
      </c>
      <c r="G171" s="80" t="s">
        <v>649</v>
      </c>
      <c r="H171" s="183"/>
      <c r="I171" s="183" t="s">
        <v>650</v>
      </c>
      <c r="J171" s="183" t="s">
        <v>4</v>
      </c>
      <c r="K171" s="183"/>
      <c r="L171" s="183"/>
    </row>
    <row r="172" spans="1:12" ht="152.25" customHeight="1">
      <c r="A172" s="183">
        <v>124</v>
      </c>
      <c r="B172" s="183"/>
      <c r="C172" s="183"/>
      <c r="D172" s="183" t="s">
        <v>167</v>
      </c>
      <c r="E172" s="80" t="s">
        <v>655</v>
      </c>
      <c r="F172" s="183" t="s">
        <v>656</v>
      </c>
      <c r="G172" s="80" t="s">
        <v>649</v>
      </c>
      <c r="H172" s="183"/>
      <c r="I172" s="183" t="s">
        <v>650</v>
      </c>
      <c r="J172" s="183" t="s">
        <v>4</v>
      </c>
      <c r="K172" s="183"/>
      <c r="L172" s="183"/>
    </row>
    <row r="173" spans="1:12" ht="152.25" customHeight="1">
      <c r="A173" s="183">
        <v>125</v>
      </c>
      <c r="B173" s="183"/>
      <c r="C173" s="183"/>
      <c r="D173" s="183" t="s">
        <v>167</v>
      </c>
      <c r="E173" s="80" t="s">
        <v>657</v>
      </c>
      <c r="F173" s="183" t="s">
        <v>658</v>
      </c>
      <c r="G173" s="80" t="s">
        <v>649</v>
      </c>
      <c r="H173" s="183"/>
      <c r="I173" s="183" t="s">
        <v>650</v>
      </c>
      <c r="J173" s="183" t="s">
        <v>4</v>
      </c>
      <c r="K173" s="183"/>
      <c r="L173" s="183"/>
    </row>
    <row r="174" spans="1:12" ht="152.25" customHeight="1">
      <c r="A174" s="183">
        <v>126</v>
      </c>
      <c r="B174" s="183"/>
      <c r="C174" s="183"/>
      <c r="D174" s="183" t="s">
        <v>167</v>
      </c>
      <c r="E174" s="80" t="s">
        <v>659</v>
      </c>
      <c r="F174" s="183" t="s">
        <v>660</v>
      </c>
      <c r="G174" s="80" t="s">
        <v>649</v>
      </c>
      <c r="H174" s="183"/>
      <c r="I174" s="183" t="s">
        <v>650</v>
      </c>
      <c r="J174" s="183" t="s">
        <v>4</v>
      </c>
      <c r="K174" s="183"/>
      <c r="L174" s="183"/>
    </row>
    <row r="175" spans="1:12" ht="169.5" customHeight="1">
      <c r="A175" s="183">
        <v>127</v>
      </c>
      <c r="B175" s="183"/>
      <c r="C175" s="183"/>
      <c r="D175" s="183" t="s">
        <v>167</v>
      </c>
      <c r="E175" s="80" t="s">
        <v>661</v>
      </c>
      <c r="F175" s="183" t="s">
        <v>662</v>
      </c>
      <c r="G175" s="80" t="s">
        <v>649</v>
      </c>
      <c r="H175" s="183"/>
      <c r="I175" s="183" t="s">
        <v>650</v>
      </c>
      <c r="J175" s="183" t="s">
        <v>4</v>
      </c>
      <c r="K175" s="183"/>
      <c r="L175" s="183"/>
    </row>
    <row r="176" spans="1:12" ht="162" customHeight="1">
      <c r="A176" s="183">
        <v>128</v>
      </c>
      <c r="B176" s="183"/>
      <c r="C176" s="183"/>
      <c r="D176" s="183" t="s">
        <v>167</v>
      </c>
      <c r="E176" s="80" t="s">
        <v>663</v>
      </c>
      <c r="F176" s="183" t="s">
        <v>664</v>
      </c>
      <c r="G176" s="80" t="s">
        <v>649</v>
      </c>
      <c r="H176" s="183"/>
      <c r="I176" s="183" t="s">
        <v>650</v>
      </c>
      <c r="J176" s="183" t="s">
        <v>4</v>
      </c>
      <c r="K176" s="183"/>
      <c r="L176" s="183"/>
    </row>
    <row r="177" spans="1:12" ht="162" customHeight="1">
      <c r="A177" s="183"/>
      <c r="B177" s="183"/>
      <c r="C177" s="183"/>
      <c r="D177" s="183"/>
      <c r="E177" s="151" t="s">
        <v>665</v>
      </c>
      <c r="F177" s="191" t="s">
        <v>666</v>
      </c>
      <c r="G177" s="123" t="s">
        <v>667</v>
      </c>
      <c r="H177" s="183"/>
      <c r="I177" s="183" t="s">
        <v>668</v>
      </c>
      <c r="J177" s="183" t="s">
        <v>4</v>
      </c>
      <c r="K177" s="183"/>
      <c r="L177" s="183"/>
    </row>
    <row r="178" spans="1:12" ht="30.75" customHeight="1">
      <c r="A178" s="183">
        <v>129</v>
      </c>
      <c r="B178" s="183"/>
      <c r="C178" s="183"/>
      <c r="D178" s="183"/>
      <c r="E178" s="151"/>
      <c r="F178" s="191"/>
      <c r="G178" s="80" t="s">
        <v>669</v>
      </c>
      <c r="H178" s="183"/>
      <c r="I178" s="183" t="s">
        <v>670</v>
      </c>
      <c r="J178" s="183" t="s">
        <v>4</v>
      </c>
      <c r="K178" s="183"/>
      <c r="L178" s="183"/>
    </row>
    <row r="179" spans="1:12" ht="30.75" customHeight="1">
      <c r="A179" s="183"/>
      <c r="B179" s="183"/>
      <c r="C179" s="183"/>
      <c r="D179" s="183"/>
      <c r="E179" s="151"/>
      <c r="F179" s="191"/>
      <c r="G179" s="123" t="s">
        <v>671</v>
      </c>
      <c r="H179" s="183"/>
      <c r="I179" s="183" t="s">
        <v>672</v>
      </c>
      <c r="J179" s="183" t="s">
        <v>4</v>
      </c>
      <c r="K179" s="183"/>
      <c r="L179" s="183"/>
    </row>
    <row r="180" spans="1:12" ht="30.75" customHeight="1">
      <c r="A180" s="183"/>
      <c r="B180" s="183"/>
      <c r="C180" s="183"/>
      <c r="D180" s="183"/>
      <c r="E180" s="151"/>
      <c r="F180" s="191"/>
      <c r="G180" s="123" t="s">
        <v>673</v>
      </c>
      <c r="H180" s="183"/>
      <c r="I180" s="183" t="s">
        <v>674</v>
      </c>
      <c r="J180" s="183" t="s">
        <v>4</v>
      </c>
      <c r="K180" s="183"/>
      <c r="L180" s="183"/>
    </row>
    <row r="181" spans="1:12" ht="30.75" customHeight="1">
      <c r="A181" s="183"/>
      <c r="B181" s="183"/>
      <c r="C181" s="183"/>
      <c r="D181" s="183"/>
      <c r="E181" s="151"/>
      <c r="F181" s="191"/>
      <c r="G181" s="123" t="s">
        <v>675</v>
      </c>
      <c r="H181" s="183"/>
      <c r="I181" s="183" t="s">
        <v>676</v>
      </c>
      <c r="J181" s="183" t="s">
        <v>4</v>
      </c>
      <c r="K181" s="183"/>
      <c r="L181" s="183"/>
    </row>
    <row r="182" spans="1:12" ht="30.75" customHeight="1">
      <c r="A182" s="183"/>
      <c r="B182" s="183"/>
      <c r="C182" s="183"/>
      <c r="D182" s="183"/>
      <c r="E182" s="151"/>
      <c r="F182" s="191"/>
      <c r="G182" s="123" t="s">
        <v>677</v>
      </c>
      <c r="H182" s="183"/>
      <c r="I182" s="183" t="s">
        <v>678</v>
      </c>
      <c r="J182" s="183" t="s">
        <v>4</v>
      </c>
      <c r="K182" s="183"/>
      <c r="L182" s="183"/>
    </row>
    <row r="183" spans="1:12" ht="91.5" customHeight="1">
      <c r="A183" s="183">
        <v>130</v>
      </c>
      <c r="B183" s="183"/>
      <c r="C183" s="183"/>
      <c r="D183" s="183"/>
      <c r="E183" s="151"/>
      <c r="F183" s="191"/>
      <c r="G183" s="80" t="s">
        <v>679</v>
      </c>
      <c r="H183" s="183"/>
      <c r="I183" s="183" t="s">
        <v>680</v>
      </c>
      <c r="J183" s="183" t="s">
        <v>4</v>
      </c>
      <c r="K183" s="183"/>
      <c r="L183" s="183"/>
    </row>
    <row r="184" spans="1:12" ht="91.5" customHeight="1">
      <c r="A184" s="183"/>
      <c r="B184" s="183"/>
      <c r="C184" s="183"/>
      <c r="D184" s="183"/>
      <c r="E184" s="151"/>
      <c r="F184" s="191"/>
      <c r="G184" s="80" t="s">
        <v>681</v>
      </c>
      <c r="H184" s="183"/>
      <c r="I184" s="183" t="s">
        <v>682</v>
      </c>
      <c r="J184" s="183" t="s">
        <v>4</v>
      </c>
      <c r="K184" s="183"/>
      <c r="L184" s="183"/>
    </row>
    <row r="185" spans="1:12" ht="74.25" customHeight="1">
      <c r="A185" s="183">
        <v>131</v>
      </c>
      <c r="B185" s="183"/>
      <c r="C185" s="183"/>
      <c r="D185" s="183"/>
      <c r="E185" s="151" t="s">
        <v>683</v>
      </c>
      <c r="F185" s="191" t="s">
        <v>666</v>
      </c>
      <c r="G185" s="123" t="s">
        <v>667</v>
      </c>
      <c r="H185" s="183"/>
      <c r="I185" s="183" t="s">
        <v>668</v>
      </c>
      <c r="J185" s="183" t="s">
        <v>4</v>
      </c>
      <c r="K185" s="183"/>
      <c r="L185" s="183"/>
    </row>
    <row r="186" spans="1:12" ht="74.25" customHeight="1">
      <c r="A186" s="183"/>
      <c r="B186" s="183"/>
      <c r="C186" s="183"/>
      <c r="D186" s="183"/>
      <c r="E186" s="151"/>
      <c r="F186" s="191"/>
      <c r="G186" s="80" t="s">
        <v>669</v>
      </c>
      <c r="H186" s="183"/>
      <c r="I186" s="183" t="s">
        <v>670</v>
      </c>
      <c r="J186" s="183" t="s">
        <v>4</v>
      </c>
      <c r="K186" s="183"/>
      <c r="L186" s="183"/>
    </row>
    <row r="187" spans="1:12" ht="74.25" customHeight="1">
      <c r="A187" s="183"/>
      <c r="B187" s="183"/>
      <c r="C187" s="183"/>
      <c r="D187" s="183"/>
      <c r="E187" s="151"/>
      <c r="F187" s="191"/>
      <c r="G187" s="123" t="s">
        <v>671</v>
      </c>
      <c r="H187" s="183"/>
      <c r="I187" s="183" t="s">
        <v>672</v>
      </c>
      <c r="J187" s="183" t="s">
        <v>4</v>
      </c>
      <c r="K187" s="183"/>
      <c r="L187" s="183"/>
    </row>
    <row r="188" spans="1:12" ht="74.25" customHeight="1">
      <c r="A188" s="183"/>
      <c r="B188" s="183"/>
      <c r="C188" s="183"/>
      <c r="D188" s="183"/>
      <c r="E188" s="151"/>
      <c r="F188" s="191"/>
      <c r="G188" s="123" t="s">
        <v>673</v>
      </c>
      <c r="H188" s="183"/>
      <c r="I188" s="183" t="s">
        <v>674</v>
      </c>
      <c r="J188" s="183" t="s">
        <v>4</v>
      </c>
      <c r="K188" s="183"/>
      <c r="L188" s="183"/>
    </row>
    <row r="189" spans="1:12" ht="87.75" customHeight="1">
      <c r="A189" s="183">
        <v>132</v>
      </c>
      <c r="B189" s="183"/>
      <c r="C189" s="183"/>
      <c r="D189" s="183"/>
      <c r="E189" s="151"/>
      <c r="F189" s="191"/>
      <c r="G189" s="80" t="s">
        <v>684</v>
      </c>
      <c r="H189" s="183"/>
      <c r="I189" s="183" t="s">
        <v>676</v>
      </c>
      <c r="J189" s="183" t="s">
        <v>4</v>
      </c>
      <c r="K189" s="183"/>
      <c r="L189" s="183"/>
    </row>
    <row r="190" spans="1:12" ht="87.75" customHeight="1">
      <c r="A190" s="183"/>
      <c r="B190" s="183"/>
      <c r="C190" s="183"/>
      <c r="D190" s="183"/>
      <c r="E190" s="151"/>
      <c r="F190" s="191"/>
      <c r="G190" s="80" t="s">
        <v>685</v>
      </c>
      <c r="H190" s="183"/>
      <c r="I190" s="183" t="s">
        <v>678</v>
      </c>
      <c r="J190" s="183" t="s">
        <v>4</v>
      </c>
      <c r="K190" s="183"/>
      <c r="L190" s="183"/>
    </row>
    <row r="191" spans="1:12" ht="87.75" customHeight="1">
      <c r="A191" s="183"/>
      <c r="B191" s="183"/>
      <c r="C191" s="183"/>
      <c r="D191" s="183"/>
      <c r="E191" s="151"/>
      <c r="F191" s="191"/>
      <c r="G191" s="80" t="s">
        <v>686</v>
      </c>
      <c r="H191" s="183"/>
      <c r="I191" s="183" t="s">
        <v>680</v>
      </c>
      <c r="J191" s="183" t="s">
        <v>4</v>
      </c>
      <c r="K191" s="183"/>
      <c r="L191" s="183"/>
    </row>
    <row r="192" spans="1:12" ht="87.75" customHeight="1">
      <c r="A192" s="183"/>
      <c r="B192" s="183"/>
      <c r="C192" s="183"/>
      <c r="D192" s="183"/>
      <c r="E192" s="151"/>
      <c r="F192" s="191"/>
      <c r="G192" s="80" t="s">
        <v>681</v>
      </c>
      <c r="H192" s="183"/>
      <c r="I192" s="183" t="s">
        <v>682</v>
      </c>
      <c r="J192" s="183" t="s">
        <v>4</v>
      </c>
      <c r="K192" s="183"/>
      <c r="L192" s="183"/>
    </row>
    <row r="193" spans="1:12" ht="87.75" customHeight="1">
      <c r="A193" s="183"/>
      <c r="B193" s="183"/>
      <c r="C193" s="183"/>
      <c r="D193" s="183"/>
      <c r="E193" s="151" t="s">
        <v>687</v>
      </c>
      <c r="F193" s="191" t="s">
        <v>666</v>
      </c>
      <c r="G193" s="123" t="s">
        <v>667</v>
      </c>
      <c r="H193" s="183"/>
      <c r="I193" s="183" t="s">
        <v>668</v>
      </c>
      <c r="J193" s="183" t="s">
        <v>4</v>
      </c>
      <c r="K193" s="183"/>
      <c r="L193" s="183"/>
    </row>
    <row r="194" spans="1:12" ht="87.75" customHeight="1">
      <c r="A194" s="183"/>
      <c r="B194" s="183"/>
      <c r="C194" s="183"/>
      <c r="D194" s="183"/>
      <c r="E194" s="151"/>
      <c r="F194" s="191"/>
      <c r="G194" s="123" t="s">
        <v>688</v>
      </c>
      <c r="H194" s="183"/>
      <c r="I194" s="193" t="s">
        <v>689</v>
      </c>
      <c r="J194" s="183" t="s">
        <v>4</v>
      </c>
      <c r="K194" s="183"/>
      <c r="L194" s="183"/>
    </row>
    <row r="195" spans="1:12" ht="30.75" customHeight="1">
      <c r="A195" s="183">
        <v>133</v>
      </c>
      <c r="B195" s="183"/>
      <c r="C195" s="183"/>
      <c r="D195" s="183"/>
      <c r="E195" s="151"/>
      <c r="F195" s="191"/>
      <c r="G195" s="123" t="s">
        <v>690</v>
      </c>
      <c r="H195" s="183"/>
      <c r="I195" s="183" t="s">
        <v>691</v>
      </c>
      <c r="J195" s="183" t="s">
        <v>4</v>
      </c>
      <c r="K195" s="183"/>
      <c r="L195" s="183"/>
    </row>
    <row r="196" spans="1:12" ht="30.75" customHeight="1">
      <c r="A196" s="183"/>
      <c r="B196" s="183"/>
      <c r="C196" s="183"/>
      <c r="D196" s="183"/>
      <c r="E196" s="151"/>
      <c r="F196" s="191"/>
      <c r="G196" s="123" t="s">
        <v>692</v>
      </c>
      <c r="H196" s="183"/>
      <c r="I196" s="183" t="s">
        <v>693</v>
      </c>
      <c r="J196" s="183" t="s">
        <v>4</v>
      </c>
      <c r="K196" s="183"/>
      <c r="L196" s="183"/>
    </row>
    <row r="197" spans="1:12" ht="60.75" customHeight="1">
      <c r="A197" s="183">
        <v>134</v>
      </c>
      <c r="B197" s="183"/>
      <c r="C197" s="183"/>
      <c r="D197" s="183"/>
      <c r="E197" s="151"/>
      <c r="F197" s="191"/>
      <c r="G197" s="80" t="s">
        <v>694</v>
      </c>
      <c r="H197" s="183"/>
      <c r="I197" s="193" t="s">
        <v>695</v>
      </c>
      <c r="J197" s="183" t="s">
        <v>4</v>
      </c>
      <c r="K197" s="183"/>
      <c r="L197" s="183"/>
    </row>
    <row r="198" spans="1:12" ht="60.75" customHeight="1">
      <c r="A198" s="183"/>
      <c r="B198" s="183"/>
      <c r="C198" s="183"/>
      <c r="D198" s="183"/>
      <c r="E198" s="151"/>
      <c r="F198" s="191"/>
      <c r="G198" s="123" t="s">
        <v>696</v>
      </c>
      <c r="H198" s="183"/>
      <c r="I198" s="183" t="s">
        <v>697</v>
      </c>
      <c r="J198" s="183" t="s">
        <v>4</v>
      </c>
      <c r="K198" s="183"/>
      <c r="L198" s="183"/>
    </row>
    <row r="199" spans="1:12" ht="60.75" customHeight="1">
      <c r="A199" s="183"/>
      <c r="B199" s="183"/>
      <c r="C199" s="183"/>
      <c r="D199" s="183"/>
      <c r="E199" s="191" t="s">
        <v>698</v>
      </c>
      <c r="F199" s="191" t="s">
        <v>666</v>
      </c>
      <c r="G199" s="123" t="s">
        <v>699</v>
      </c>
      <c r="H199" s="183"/>
      <c r="I199" s="183" t="s">
        <v>700</v>
      </c>
      <c r="J199" s="183" t="s">
        <v>4</v>
      </c>
      <c r="K199" s="183"/>
      <c r="L199" s="183"/>
    </row>
    <row r="200" spans="1:12" ht="30.75" customHeight="1">
      <c r="A200" s="183">
        <v>135</v>
      </c>
      <c r="B200" s="183"/>
      <c r="C200" s="183"/>
      <c r="D200" s="183"/>
      <c r="E200" s="191"/>
      <c r="F200" s="191"/>
      <c r="G200" s="80" t="s">
        <v>701</v>
      </c>
      <c r="H200" s="183"/>
      <c r="I200" s="193" t="s">
        <v>702</v>
      </c>
      <c r="J200" s="183" t="s">
        <v>4</v>
      </c>
      <c r="K200" s="183"/>
      <c r="L200" s="183"/>
    </row>
    <row r="201" spans="1:12" ht="45.75" customHeight="1">
      <c r="A201" s="183">
        <v>136</v>
      </c>
      <c r="B201" s="183"/>
      <c r="C201" s="183"/>
      <c r="D201" s="183"/>
      <c r="E201" s="191"/>
      <c r="F201" s="191"/>
      <c r="G201" s="80" t="s">
        <v>703</v>
      </c>
      <c r="H201" s="183"/>
      <c r="I201" s="133" t="s">
        <v>704</v>
      </c>
      <c r="J201" s="183" t="s">
        <v>4</v>
      </c>
      <c r="K201" s="183"/>
      <c r="L201" s="183"/>
    </row>
    <row r="202" spans="1:12" ht="45.75" customHeight="1">
      <c r="A202" s="183"/>
      <c r="B202" s="183"/>
      <c r="C202" s="183"/>
      <c r="D202" s="183"/>
      <c r="E202" s="191"/>
      <c r="F202" s="191"/>
      <c r="G202" s="80" t="s">
        <v>705</v>
      </c>
      <c r="H202" s="183"/>
      <c r="I202" s="183" t="s">
        <v>706</v>
      </c>
      <c r="J202" s="183" t="s">
        <v>4</v>
      </c>
      <c r="K202" s="183"/>
      <c r="L202" s="183"/>
    </row>
    <row r="203" spans="1:12" ht="45.75" customHeight="1">
      <c r="A203" s="183"/>
      <c r="B203" s="183"/>
      <c r="C203" s="183"/>
      <c r="D203" s="183"/>
      <c r="E203" s="191" t="s">
        <v>707</v>
      </c>
      <c r="F203" s="191" t="s">
        <v>666</v>
      </c>
      <c r="G203" s="123" t="s">
        <v>699</v>
      </c>
      <c r="H203" s="183"/>
      <c r="I203" s="183" t="s">
        <v>700</v>
      </c>
      <c r="J203" s="183" t="s">
        <v>4</v>
      </c>
      <c r="K203" s="183"/>
      <c r="L203" s="183"/>
    </row>
    <row r="204" spans="1:12" ht="30.75" customHeight="1">
      <c r="A204" s="183">
        <v>137</v>
      </c>
      <c r="B204" s="183"/>
      <c r="C204" s="183"/>
      <c r="D204" s="183"/>
      <c r="E204" s="191"/>
      <c r="F204" s="191"/>
      <c r="G204" s="80" t="s">
        <v>701</v>
      </c>
      <c r="H204" s="183"/>
      <c r="I204" s="193" t="s">
        <v>702</v>
      </c>
      <c r="J204" s="183" t="s">
        <v>4</v>
      </c>
      <c r="K204" s="183"/>
      <c r="L204" s="183"/>
    </row>
    <row r="205" spans="1:12" ht="30.75" customHeight="1">
      <c r="A205" s="183"/>
      <c r="B205" s="183"/>
      <c r="C205" s="183"/>
      <c r="D205" s="183"/>
      <c r="E205" s="191"/>
      <c r="F205" s="191"/>
      <c r="G205" s="123" t="s">
        <v>690</v>
      </c>
      <c r="H205" s="183"/>
      <c r="I205" s="133" t="s">
        <v>704</v>
      </c>
      <c r="J205" s="183" t="s">
        <v>4</v>
      </c>
      <c r="K205" s="183"/>
      <c r="L205" s="183"/>
    </row>
    <row r="206" spans="1:12" ht="45.75" customHeight="1">
      <c r="A206" s="183">
        <v>138</v>
      </c>
      <c r="B206" s="183"/>
      <c r="C206" s="183"/>
      <c r="D206" s="183"/>
      <c r="E206" s="191"/>
      <c r="F206" s="191"/>
      <c r="G206" s="80" t="s">
        <v>708</v>
      </c>
      <c r="H206" s="183"/>
      <c r="I206" s="183" t="s">
        <v>709</v>
      </c>
      <c r="J206" s="183" t="s">
        <v>4</v>
      </c>
      <c r="K206" s="183"/>
      <c r="L206" s="183"/>
    </row>
    <row r="207" spans="1:12" ht="30.75" customHeight="1">
      <c r="A207" s="183">
        <v>139</v>
      </c>
      <c r="B207" s="183"/>
      <c r="C207" s="183"/>
      <c r="D207" s="183"/>
      <c r="E207" s="151" t="s">
        <v>710</v>
      </c>
      <c r="F207" s="191" t="s">
        <v>711</v>
      </c>
      <c r="G207" s="183" t="s">
        <v>712</v>
      </c>
      <c r="H207" s="183"/>
      <c r="I207" s="183" t="s">
        <v>700</v>
      </c>
      <c r="J207" s="183" t="s">
        <v>4</v>
      </c>
      <c r="K207" s="183"/>
      <c r="L207" s="183"/>
    </row>
    <row r="208" spans="1:12" ht="30.75" customHeight="1">
      <c r="A208" s="183"/>
      <c r="B208" s="183"/>
      <c r="C208" s="183"/>
      <c r="D208" s="183"/>
      <c r="E208" s="151"/>
      <c r="F208" s="191"/>
      <c r="G208" s="123" t="s">
        <v>688</v>
      </c>
      <c r="H208" s="183"/>
      <c r="I208" s="193" t="s">
        <v>702</v>
      </c>
      <c r="J208" s="183" t="s">
        <v>4</v>
      </c>
      <c r="K208" s="183"/>
      <c r="L208" s="183"/>
    </row>
    <row r="209" spans="1:12" ht="30.75" customHeight="1">
      <c r="A209" s="183"/>
      <c r="B209" s="183"/>
      <c r="C209" s="183"/>
      <c r="D209" s="183"/>
      <c r="E209" s="151"/>
      <c r="F209" s="191"/>
      <c r="G209" s="183" t="s">
        <v>713</v>
      </c>
      <c r="H209" s="183"/>
      <c r="I209" s="183" t="s">
        <v>714</v>
      </c>
      <c r="J209" s="183" t="s">
        <v>4</v>
      </c>
      <c r="K209" s="183"/>
      <c r="L209" s="183"/>
    </row>
    <row r="210" spans="1:12" ht="30.75" customHeight="1">
      <c r="A210" s="183"/>
      <c r="B210" s="183"/>
      <c r="C210" s="183"/>
      <c r="D210" s="183"/>
      <c r="E210" s="151"/>
      <c r="F210" s="191"/>
      <c r="G210" s="183" t="s">
        <v>715</v>
      </c>
      <c r="H210" s="183"/>
      <c r="I210" s="193" t="s">
        <v>716</v>
      </c>
      <c r="J210" s="183" t="s">
        <v>4</v>
      </c>
      <c r="K210" s="183"/>
      <c r="L210" s="183"/>
    </row>
    <row r="211" spans="1:12" ht="82.5" customHeight="1">
      <c r="A211" s="183">
        <v>140</v>
      </c>
      <c r="B211" s="183"/>
      <c r="C211" s="183"/>
      <c r="D211" s="183"/>
      <c r="E211" s="188"/>
      <c r="F211" s="191"/>
      <c r="G211" s="80" t="s">
        <v>717</v>
      </c>
      <c r="H211" s="183"/>
      <c r="I211" s="80" t="s">
        <v>718</v>
      </c>
      <c r="J211" s="183" t="s">
        <v>4</v>
      </c>
      <c r="K211" s="183"/>
      <c r="L211" s="183"/>
    </row>
    <row r="212" spans="1:12" ht="82.5" customHeight="1">
      <c r="A212" s="183"/>
      <c r="B212" s="183"/>
      <c r="C212" s="183"/>
      <c r="D212" s="183"/>
      <c r="E212" s="151" t="s">
        <v>719</v>
      </c>
      <c r="F212" s="191" t="s">
        <v>711</v>
      </c>
      <c r="G212" s="183" t="s">
        <v>712</v>
      </c>
      <c r="H212" s="183"/>
      <c r="I212" s="183" t="s">
        <v>700</v>
      </c>
      <c r="J212" s="183" t="s">
        <v>4</v>
      </c>
      <c r="K212" s="183"/>
      <c r="L212" s="183"/>
    </row>
    <row r="213" spans="1:12" ht="82.5" customHeight="1">
      <c r="A213" s="183"/>
      <c r="B213" s="183"/>
      <c r="C213" s="183"/>
      <c r="D213" s="183"/>
      <c r="E213" s="151"/>
      <c r="F213" s="191"/>
      <c r="G213" s="123" t="s">
        <v>688</v>
      </c>
      <c r="H213" s="183"/>
      <c r="I213" s="193" t="s">
        <v>702</v>
      </c>
      <c r="J213" s="183" t="s">
        <v>4</v>
      </c>
      <c r="K213" s="183"/>
      <c r="L213" s="183"/>
    </row>
    <row r="214" spans="1:12" ht="55.5" customHeight="1">
      <c r="A214" s="183">
        <v>141</v>
      </c>
      <c r="B214" s="183"/>
      <c r="C214" s="183"/>
      <c r="D214" s="183"/>
      <c r="E214" s="151"/>
      <c r="F214" s="191"/>
      <c r="G214" s="183" t="s">
        <v>720</v>
      </c>
      <c r="H214" s="183"/>
      <c r="I214" s="193" t="s">
        <v>716</v>
      </c>
      <c r="J214" s="183" t="s">
        <v>4</v>
      </c>
      <c r="K214" s="183"/>
      <c r="L214" s="183"/>
    </row>
    <row r="215" spans="1:12" ht="60.75">
      <c r="A215" s="183">
        <v>142</v>
      </c>
      <c r="B215" s="183"/>
      <c r="C215" s="183"/>
      <c r="D215" s="183"/>
      <c r="E215" s="151"/>
      <c r="F215" s="191"/>
      <c r="G215" s="80" t="s">
        <v>721</v>
      </c>
      <c r="H215" s="183"/>
      <c r="I215" s="183" t="s">
        <v>722</v>
      </c>
      <c r="J215" s="183" t="s">
        <v>4</v>
      </c>
      <c r="K215" s="183"/>
      <c r="L215" s="183"/>
    </row>
    <row r="216" spans="1:12" ht="45.75">
      <c r="A216" s="183">
        <v>143</v>
      </c>
      <c r="B216" s="183"/>
      <c r="C216" s="183"/>
      <c r="D216" s="183"/>
      <c r="E216" s="187" t="s">
        <v>723</v>
      </c>
      <c r="F216" s="183"/>
      <c r="G216" s="183" t="s">
        <v>724</v>
      </c>
      <c r="H216" s="183"/>
      <c r="I216" s="183" t="s">
        <v>725</v>
      </c>
      <c r="J216" s="183" t="s">
        <v>2</v>
      </c>
      <c r="K216" s="183" t="s">
        <v>726</v>
      </c>
      <c r="L216" s="83" t="s">
        <v>727</v>
      </c>
    </row>
    <row r="217" spans="1:12" ht="84" customHeight="1">
      <c r="A217" s="183">
        <v>144</v>
      </c>
      <c r="B217" s="183"/>
      <c r="C217" s="183"/>
      <c r="D217" s="183"/>
      <c r="E217" s="87" t="s">
        <v>728</v>
      </c>
      <c r="F217" s="183"/>
      <c r="G217" s="183"/>
      <c r="H217" s="183"/>
      <c r="I217" s="183"/>
      <c r="J217" s="183" t="s">
        <v>2</v>
      </c>
      <c r="K217" s="183"/>
      <c r="L217" s="83" t="s">
        <v>727</v>
      </c>
    </row>
    <row r="218" spans="1:12" ht="84" customHeight="1">
      <c r="A218" s="183"/>
      <c r="B218" s="183"/>
      <c r="C218" s="183"/>
      <c r="D218" s="183"/>
      <c r="E218" s="191" t="s">
        <v>729</v>
      </c>
      <c r="F218" s="191" t="s">
        <v>711</v>
      </c>
      <c r="G218" s="183" t="s">
        <v>730</v>
      </c>
      <c r="H218" s="183"/>
      <c r="I218" s="183" t="s">
        <v>731</v>
      </c>
      <c r="J218" s="183"/>
      <c r="K218" s="183"/>
      <c r="L218" s="83"/>
    </row>
    <row r="219" spans="1:12" ht="60.75" customHeight="1">
      <c r="A219" s="183">
        <v>145</v>
      </c>
      <c r="B219" s="183"/>
      <c r="C219" s="183"/>
      <c r="D219" s="183"/>
      <c r="E219" s="191"/>
      <c r="F219" s="191"/>
      <c r="G219" s="80" t="s">
        <v>732</v>
      </c>
      <c r="H219" s="183"/>
      <c r="I219" s="183" t="s">
        <v>733</v>
      </c>
      <c r="J219" s="183" t="s">
        <v>4</v>
      </c>
      <c r="K219" s="183"/>
      <c r="L219" s="83"/>
    </row>
    <row r="220" spans="1:12" ht="60.75" customHeight="1">
      <c r="A220" s="183"/>
      <c r="B220" s="183"/>
      <c r="C220" s="183"/>
      <c r="D220" s="183"/>
      <c r="E220" s="191" t="s">
        <v>734</v>
      </c>
      <c r="F220" s="191" t="s">
        <v>666</v>
      </c>
      <c r="G220" s="183" t="s">
        <v>730</v>
      </c>
      <c r="H220" s="183"/>
      <c r="I220" s="183" t="s">
        <v>731</v>
      </c>
      <c r="J220" s="183"/>
      <c r="K220" s="183"/>
      <c r="L220" s="83"/>
    </row>
    <row r="221" spans="1:12" ht="60.75" customHeight="1">
      <c r="A221" s="183">
        <v>146</v>
      </c>
      <c r="B221" s="183"/>
      <c r="C221" s="183"/>
      <c r="D221" s="183"/>
      <c r="E221" s="191"/>
      <c r="F221" s="191"/>
      <c r="G221" s="80" t="s">
        <v>735</v>
      </c>
      <c r="H221" s="183"/>
      <c r="I221" s="183" t="s">
        <v>733</v>
      </c>
      <c r="J221" s="183" t="s">
        <v>4</v>
      </c>
      <c r="K221" s="183"/>
      <c r="L221" s="83"/>
    </row>
    <row r="222" spans="1:12" ht="60.75" customHeight="1">
      <c r="A222" s="183"/>
      <c r="B222" s="183"/>
      <c r="C222" s="183"/>
      <c r="D222" s="183"/>
      <c r="E222" s="191" t="s">
        <v>736</v>
      </c>
      <c r="F222" s="191" t="s">
        <v>666</v>
      </c>
      <c r="G222" s="183" t="s">
        <v>730</v>
      </c>
      <c r="H222" s="183"/>
      <c r="I222" s="183" t="s">
        <v>731</v>
      </c>
      <c r="J222" s="183"/>
      <c r="K222" s="183"/>
      <c r="L222" s="83"/>
    </row>
    <row r="223" spans="1:12" ht="45.75">
      <c r="A223" s="183">
        <v>147</v>
      </c>
      <c r="B223" s="183"/>
      <c r="C223" s="183"/>
      <c r="D223" s="183"/>
      <c r="E223" s="191"/>
      <c r="F223" s="191"/>
      <c r="G223" s="80" t="s">
        <v>737</v>
      </c>
      <c r="H223" s="183"/>
      <c r="I223" s="183" t="s">
        <v>733</v>
      </c>
      <c r="J223" s="183" t="s">
        <v>4</v>
      </c>
      <c r="K223" s="183"/>
      <c r="L223" s="83"/>
    </row>
    <row r="224" spans="1:12" ht="60.75" customHeight="1">
      <c r="A224" s="183"/>
      <c r="B224" s="183"/>
      <c r="C224" s="183"/>
      <c r="D224" s="183"/>
      <c r="E224" s="191" t="s">
        <v>738</v>
      </c>
      <c r="F224" s="191" t="s">
        <v>666</v>
      </c>
      <c r="G224" s="183" t="s">
        <v>730</v>
      </c>
      <c r="H224" s="183"/>
      <c r="I224" s="183" t="s">
        <v>731</v>
      </c>
      <c r="J224" s="183"/>
      <c r="K224" s="183"/>
      <c r="L224" s="83"/>
    </row>
    <row r="225" spans="1:12" ht="60.75" customHeight="1">
      <c r="A225" s="183">
        <v>148</v>
      </c>
      <c r="B225" s="183"/>
      <c r="C225" s="183"/>
      <c r="D225" s="183"/>
      <c r="E225" s="191"/>
      <c r="F225" s="191"/>
      <c r="G225" s="80" t="s">
        <v>739</v>
      </c>
      <c r="H225" s="183"/>
      <c r="I225" s="183" t="s">
        <v>733</v>
      </c>
      <c r="J225" s="183" t="s">
        <v>4</v>
      </c>
      <c r="K225" s="183"/>
      <c r="L225" s="83"/>
    </row>
    <row r="226" spans="1:12" ht="60.75" customHeight="1">
      <c r="A226" s="183"/>
      <c r="B226" s="183"/>
      <c r="C226" s="183"/>
      <c r="D226" s="183"/>
      <c r="E226" s="191" t="s">
        <v>740</v>
      </c>
      <c r="F226" s="191" t="s">
        <v>666</v>
      </c>
      <c r="G226" s="183" t="s">
        <v>730</v>
      </c>
      <c r="H226" s="183"/>
      <c r="I226" s="183" t="s">
        <v>731</v>
      </c>
      <c r="J226" s="183"/>
      <c r="K226" s="183"/>
      <c r="L226" s="83"/>
    </row>
    <row r="227" spans="1:12" ht="60.75" customHeight="1">
      <c r="A227" s="183">
        <v>149</v>
      </c>
      <c r="B227" s="183"/>
      <c r="C227" s="183"/>
      <c r="D227" s="183"/>
      <c r="E227" s="191"/>
      <c r="F227" s="191"/>
      <c r="G227" s="80" t="s">
        <v>741</v>
      </c>
      <c r="H227" s="183"/>
      <c r="I227" s="183" t="s">
        <v>733</v>
      </c>
      <c r="J227" s="183" t="s">
        <v>4</v>
      </c>
      <c r="K227" s="183"/>
      <c r="L227" s="83"/>
    </row>
    <row r="228" spans="1:12" ht="60.75" customHeight="1">
      <c r="A228" s="183"/>
      <c r="B228" s="183"/>
      <c r="C228" s="183"/>
      <c r="D228" s="183"/>
      <c r="E228" s="191" t="s">
        <v>742</v>
      </c>
      <c r="F228" s="191" t="s">
        <v>666</v>
      </c>
      <c r="G228" s="183" t="s">
        <v>730</v>
      </c>
      <c r="H228" s="183"/>
      <c r="I228" s="183" t="s">
        <v>731</v>
      </c>
      <c r="J228" s="183"/>
      <c r="K228" s="183"/>
      <c r="L228" s="83"/>
    </row>
    <row r="229" spans="1:12" ht="60.75" customHeight="1">
      <c r="A229" s="183">
        <v>150</v>
      </c>
      <c r="B229" s="183"/>
      <c r="C229" s="183"/>
      <c r="D229" s="183"/>
      <c r="E229" s="191"/>
      <c r="F229" s="191"/>
      <c r="G229" s="80" t="s">
        <v>743</v>
      </c>
      <c r="H229" s="183"/>
      <c r="I229" s="183" t="s">
        <v>733</v>
      </c>
      <c r="J229" s="183" t="s">
        <v>4</v>
      </c>
      <c r="K229" s="183"/>
      <c r="L229" s="83"/>
    </row>
    <row r="230" spans="1:12" ht="30.75">
      <c r="A230" s="183">
        <v>151</v>
      </c>
      <c r="B230" s="183"/>
      <c r="C230" s="183"/>
      <c r="D230" s="183"/>
      <c r="E230" s="80" t="s">
        <v>744</v>
      </c>
      <c r="F230" s="183" t="s">
        <v>745</v>
      </c>
      <c r="G230" s="183"/>
      <c r="H230" s="183"/>
      <c r="I230" s="183"/>
      <c r="J230" s="183"/>
      <c r="K230" s="183"/>
      <c r="L230" s="183"/>
    </row>
    <row r="231" spans="1:12" ht="30.75" customHeight="1">
      <c r="E231" s="141" t="s">
        <v>746</v>
      </c>
      <c r="F231" s="141" t="s">
        <v>666</v>
      </c>
      <c r="G231" s="1" t="s">
        <v>747</v>
      </c>
      <c r="I231" s="1" t="s">
        <v>700</v>
      </c>
      <c r="J231" s="183" t="s">
        <v>4</v>
      </c>
    </row>
    <row r="232" spans="1:12">
      <c r="E232" s="141"/>
      <c r="F232" s="141"/>
      <c r="G232" s="1" t="s">
        <v>748</v>
      </c>
      <c r="I232" s="1" t="s">
        <v>749</v>
      </c>
      <c r="J232" s="183" t="s">
        <v>4</v>
      </c>
    </row>
    <row r="233" spans="1:12" ht="30.75">
      <c r="E233" s="141"/>
      <c r="F233" s="141"/>
      <c r="G233" s="1" t="s">
        <v>750</v>
      </c>
      <c r="I233" s="133" t="s">
        <v>751</v>
      </c>
      <c r="J233" s="183" t="s">
        <v>4</v>
      </c>
    </row>
    <row r="234" spans="1:12" ht="45.75">
      <c r="E234" s="141"/>
      <c r="F234" s="141"/>
      <c r="G234" s="1" t="s">
        <v>752</v>
      </c>
      <c r="I234" s="1" t="s">
        <v>753</v>
      </c>
      <c r="J234" s="183" t="s">
        <v>4</v>
      </c>
    </row>
    <row r="235" spans="1:12">
      <c r="E235" s="141"/>
      <c r="F235" s="141"/>
      <c r="G235" s="1" t="s">
        <v>754</v>
      </c>
      <c r="I235" s="133" t="s">
        <v>755</v>
      </c>
      <c r="J235" s="183" t="s">
        <v>4</v>
      </c>
    </row>
    <row r="236" spans="1:12">
      <c r="E236" s="141"/>
      <c r="F236" s="141"/>
      <c r="G236" s="1" t="s">
        <v>756</v>
      </c>
      <c r="I236" s="1" t="s">
        <v>757</v>
      </c>
      <c r="J236" s="183" t="s">
        <v>4</v>
      </c>
    </row>
    <row r="237" spans="1:12" ht="30.75">
      <c r="E237" s="141"/>
      <c r="F237" s="141"/>
      <c r="G237" s="1" t="s">
        <v>758</v>
      </c>
      <c r="I237" s="133" t="s">
        <v>759</v>
      </c>
      <c r="J237" s="183" t="s">
        <v>4</v>
      </c>
    </row>
    <row r="238" spans="1:12" ht="30.75" customHeight="1">
      <c r="E238" s="141" t="s">
        <v>760</v>
      </c>
      <c r="F238" s="141" t="s">
        <v>761</v>
      </c>
      <c r="G238" s="1" t="s">
        <v>762</v>
      </c>
      <c r="I238" s="1" t="s">
        <v>763</v>
      </c>
      <c r="J238" s="183" t="s">
        <v>4</v>
      </c>
    </row>
    <row r="239" spans="1:12">
      <c r="E239" s="141"/>
      <c r="F239" s="141"/>
      <c r="G239" s="1" t="s">
        <v>764</v>
      </c>
      <c r="I239" s="1" t="s">
        <v>765</v>
      </c>
      <c r="J239" s="183" t="s">
        <v>4</v>
      </c>
    </row>
    <row r="240" spans="1:12" ht="30.75">
      <c r="E240" s="141"/>
      <c r="F240" s="141"/>
      <c r="G240" s="1" t="s">
        <v>766</v>
      </c>
      <c r="I240" s="1" t="s">
        <v>767</v>
      </c>
      <c r="J240" s="183" t="s">
        <v>4</v>
      </c>
    </row>
    <row r="241" spans="5:5">
      <c r="E241" s="1" t="s">
        <v>768</v>
      </c>
    </row>
    <row r="255" spans="5:5">
      <c r="E255" s="1" t="s">
        <v>768</v>
      </c>
    </row>
    <row r="256" spans="5:5">
      <c r="E256" s="1" t="s">
        <v>769</v>
      </c>
    </row>
    <row r="257" spans="5:5">
      <c r="E257" s="1" t="s">
        <v>770</v>
      </c>
    </row>
    <row r="258" spans="5:5">
      <c r="E258" s="1" t="s">
        <v>771</v>
      </c>
    </row>
  </sheetData>
  <autoFilter ref="J2:J230" xr:uid="{00000000-0001-0000-0300-000000000000}"/>
  <mergeCells count="105">
    <mergeCell ref="F131:F136"/>
    <mergeCell ref="F142:F143"/>
    <mergeCell ref="F144:F145"/>
    <mergeCell ref="F158:F160"/>
    <mergeCell ref="F146:F149"/>
    <mergeCell ref="C62:C65"/>
    <mergeCell ref="C82:C85"/>
    <mergeCell ref="C97:C100"/>
    <mergeCell ref="E112:E130"/>
    <mergeCell ref="E108:E111"/>
    <mergeCell ref="F112:F130"/>
    <mergeCell ref="F108:F111"/>
    <mergeCell ref="C140:C141"/>
    <mergeCell ref="C112:C119"/>
    <mergeCell ref="C133:C136"/>
    <mergeCell ref="E131:E136"/>
    <mergeCell ref="C110:C111"/>
    <mergeCell ref="E137:E141"/>
    <mergeCell ref="F137:F141"/>
    <mergeCell ref="E146:E149"/>
    <mergeCell ref="E144:E145"/>
    <mergeCell ref="E142:E143"/>
    <mergeCell ref="E151:E153"/>
    <mergeCell ref="F151:F153"/>
    <mergeCell ref="F9:F14"/>
    <mergeCell ref="C87:C90"/>
    <mergeCell ref="E30:E34"/>
    <mergeCell ref="F30:F34"/>
    <mergeCell ref="F101:F105"/>
    <mergeCell ref="F86:F90"/>
    <mergeCell ref="E35:E37"/>
    <mergeCell ref="F35:F37"/>
    <mergeCell ref="E53:E60"/>
    <mergeCell ref="E66:E70"/>
    <mergeCell ref="F66:F70"/>
    <mergeCell ref="E9:E14"/>
    <mergeCell ref="E38:E41"/>
    <mergeCell ref="F38:F41"/>
    <mergeCell ref="C72:C75"/>
    <mergeCell ref="C67:C70"/>
    <mergeCell ref="C92:C95"/>
    <mergeCell ref="E81:E85"/>
    <mergeCell ref="C102:C105"/>
    <mergeCell ref="C77:C80"/>
    <mergeCell ref="E101:E105"/>
    <mergeCell ref="E158:E160"/>
    <mergeCell ref="E163:E164"/>
    <mergeCell ref="F163:F164"/>
    <mergeCell ref="E161:E162"/>
    <mergeCell ref="F161:F162"/>
    <mergeCell ref="F3:F8"/>
    <mergeCell ref="F53:F60"/>
    <mergeCell ref="E15:E18"/>
    <mergeCell ref="E19:E26"/>
    <mergeCell ref="E27:E28"/>
    <mergeCell ref="F27:F28"/>
    <mergeCell ref="F96:F100"/>
    <mergeCell ref="E91:E95"/>
    <mergeCell ref="E96:E100"/>
    <mergeCell ref="E61:E65"/>
    <mergeCell ref="F61:F65"/>
    <mergeCell ref="E71:E75"/>
    <mergeCell ref="F71:F75"/>
    <mergeCell ref="E76:E80"/>
    <mergeCell ref="F76:F80"/>
    <mergeCell ref="E86:E90"/>
    <mergeCell ref="F81:F85"/>
    <mergeCell ref="F91:F95"/>
    <mergeCell ref="E3:E8"/>
    <mergeCell ref="F154:F156"/>
    <mergeCell ref="E220:E221"/>
    <mergeCell ref="F212:F215"/>
    <mergeCell ref="E212:E215"/>
    <mergeCell ref="E218:E219"/>
    <mergeCell ref="F218:F219"/>
    <mergeCell ref="F220:F221"/>
    <mergeCell ref="F199:F202"/>
    <mergeCell ref="F207:F211"/>
    <mergeCell ref="E203:E206"/>
    <mergeCell ref="F203:F206"/>
    <mergeCell ref="E193:E198"/>
    <mergeCell ref="F193:F198"/>
    <mergeCell ref="E199:E202"/>
    <mergeCell ref="E207:E211"/>
    <mergeCell ref="E165:E166"/>
    <mergeCell ref="F165:F166"/>
    <mergeCell ref="E167:E168"/>
    <mergeCell ref="F167:F168"/>
    <mergeCell ref="E177:E184"/>
    <mergeCell ref="F177:F184"/>
    <mergeCell ref="E185:E192"/>
    <mergeCell ref="F185:F192"/>
    <mergeCell ref="E154:E156"/>
    <mergeCell ref="F238:F240"/>
    <mergeCell ref="E238:E240"/>
    <mergeCell ref="E231:E237"/>
    <mergeCell ref="F231:F237"/>
    <mergeCell ref="E228:E229"/>
    <mergeCell ref="F228:F229"/>
    <mergeCell ref="E222:E223"/>
    <mergeCell ref="F222:F223"/>
    <mergeCell ref="E224:E225"/>
    <mergeCell ref="F224:F225"/>
    <mergeCell ref="E226:E227"/>
    <mergeCell ref="F226:F227"/>
  </mergeCells>
  <dataValidations count="1">
    <dataValidation type="list" allowBlank="1" showInputMessage="1" showErrorMessage="1" sqref="J3:J229 J231:J240" xr:uid="{00000000-0002-0000-0300-000000000000}">
      <formula1>"In Design, Ready, Reviewed Completed, Pass, Fail, Blocked, No Run"</formula1>
    </dataValidation>
  </dataValidations>
  <hyperlinks>
    <hyperlink ref="L3" r:id="rId1" xr:uid="{00000000-0004-0000-0300-000000000000}"/>
    <hyperlink ref="L15" r:id="rId2" xr:uid="{00000000-0004-0000-0300-000001000000}"/>
    <hyperlink ref="L30" r:id="rId3" xr:uid="{00000000-0004-0000-0300-000002000000}"/>
    <hyperlink ref="L60" r:id="rId4" xr:uid="{00000000-0004-0000-0300-000003000000}"/>
    <hyperlink ref="L65" r:id="rId5" xr:uid="{00000000-0004-0000-0300-000004000000}"/>
    <hyperlink ref="L85" r:id="rId6" xr:uid="{00000000-0004-0000-0300-000005000000}"/>
    <hyperlink ref="L105" r:id="rId7" xr:uid="{00000000-0004-0000-0300-000006000000}"/>
    <hyperlink ref="L216" r:id="rId8" xr:uid="{00000000-0004-0000-0300-000007000000}"/>
    <hyperlink ref="L217" r:id="rId9" xr:uid="{00000000-0004-0000-0300-000008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84"/>
  <sheetViews>
    <sheetView workbookViewId="0">
      <pane ySplit="3" topLeftCell="K40" activePane="bottomLeft" state="frozen"/>
      <selection pane="bottomLeft" activeCell="K40" sqref="K40"/>
    </sheetView>
  </sheetViews>
  <sheetFormatPr defaultRowHeight="15"/>
  <cols>
    <col min="1" max="1" width="11.42578125" customWidth="1"/>
    <col min="2" max="2" width="53" style="1" customWidth="1"/>
    <col min="3" max="3" width="17" hidden="1" customWidth="1"/>
    <col min="4" max="5" width="28.42578125" hidden="1" customWidth="1"/>
    <col min="6" max="6" width="33" customWidth="1"/>
    <col min="7" max="7" width="58.7109375" customWidth="1"/>
    <col min="8" max="8" width="33.7109375" hidden="1" customWidth="1"/>
    <col min="9" max="9" width="52.42578125" customWidth="1"/>
    <col min="10" max="10" width="43.7109375" customWidth="1"/>
    <col min="11" max="11" width="23.140625" customWidth="1"/>
    <col min="12" max="12" width="46.85546875" hidden="1" customWidth="1"/>
  </cols>
  <sheetData>
    <row r="1" spans="1:13">
      <c r="A1">
        <f>COUNT(A5:A51)</f>
        <v>36</v>
      </c>
      <c r="B1" s="1" t="s">
        <v>772</v>
      </c>
    </row>
    <row r="3" spans="1:13" s="31" customFormat="1" ht="27.75" customHeight="1">
      <c r="A3" s="26" t="s">
        <v>18</v>
      </c>
      <c r="B3" s="26" t="s">
        <v>19</v>
      </c>
      <c r="C3" s="26" t="s">
        <v>20</v>
      </c>
      <c r="D3" s="26" t="s">
        <v>128</v>
      </c>
      <c r="E3" s="26" t="s">
        <v>773</v>
      </c>
      <c r="F3" s="26" t="s">
        <v>21</v>
      </c>
      <c r="G3" s="26" t="s">
        <v>22</v>
      </c>
      <c r="H3" s="26" t="s">
        <v>23</v>
      </c>
      <c r="I3" s="26" t="s">
        <v>24</v>
      </c>
      <c r="J3" s="26" t="s">
        <v>25</v>
      </c>
      <c r="K3" s="26" t="s">
        <v>0</v>
      </c>
      <c r="L3" s="26" t="s">
        <v>131</v>
      </c>
    </row>
    <row r="4" spans="1:13" s="31" customFormat="1" ht="90.75" customHeight="1">
      <c r="B4" s="156" t="s">
        <v>774</v>
      </c>
      <c r="C4" s="24" t="s">
        <v>775</v>
      </c>
      <c r="D4" s="24"/>
      <c r="E4" s="24" t="s">
        <v>135</v>
      </c>
      <c r="F4" s="24"/>
      <c r="G4" s="24" t="s">
        <v>776</v>
      </c>
      <c r="H4" s="24"/>
      <c r="I4" s="24" t="s">
        <v>777</v>
      </c>
      <c r="J4" s="9"/>
      <c r="K4" s="1" t="s">
        <v>8</v>
      </c>
      <c r="L4" s="9"/>
      <c r="M4" s="1"/>
    </row>
    <row r="5" spans="1:13" s="31" customFormat="1" ht="90.75" customHeight="1">
      <c r="A5" s="9">
        <v>1</v>
      </c>
      <c r="B5" s="156"/>
      <c r="C5" s="24" t="s">
        <v>775</v>
      </c>
      <c r="D5" s="24"/>
      <c r="E5" s="24" t="s">
        <v>135</v>
      </c>
      <c r="F5" s="24"/>
      <c r="G5" s="24" t="s">
        <v>778</v>
      </c>
      <c r="H5" s="24"/>
      <c r="I5" s="24" t="s">
        <v>779</v>
      </c>
      <c r="J5" s="9"/>
      <c r="K5" s="1" t="s">
        <v>8</v>
      </c>
      <c r="L5" s="9"/>
      <c r="M5" s="1"/>
    </row>
    <row r="6" spans="1:13" s="31" customFormat="1" ht="90.75" customHeight="1">
      <c r="A6" s="9">
        <v>2</v>
      </c>
      <c r="B6" s="25" t="s">
        <v>780</v>
      </c>
      <c r="C6" s="24" t="s">
        <v>775</v>
      </c>
      <c r="D6" s="24"/>
      <c r="E6" s="24" t="s">
        <v>135</v>
      </c>
      <c r="F6" s="24"/>
      <c r="G6" s="24" t="s">
        <v>781</v>
      </c>
      <c r="H6" s="24" t="s">
        <v>782</v>
      </c>
      <c r="I6" s="24" t="s">
        <v>783</v>
      </c>
      <c r="J6" s="9"/>
      <c r="K6" s="1" t="s">
        <v>8</v>
      </c>
      <c r="L6" s="9"/>
      <c r="M6" s="1"/>
    </row>
    <row r="7" spans="1:13" s="31" customFormat="1" ht="90.75" customHeight="1">
      <c r="A7" s="9">
        <v>3</v>
      </c>
      <c r="B7" s="162" t="s">
        <v>784</v>
      </c>
      <c r="C7" s="24" t="s">
        <v>775</v>
      </c>
      <c r="D7" s="24"/>
      <c r="E7" s="24" t="s">
        <v>135</v>
      </c>
      <c r="F7" s="24"/>
      <c r="G7" s="24" t="s">
        <v>776</v>
      </c>
      <c r="H7" s="24"/>
      <c r="I7" s="24" t="s">
        <v>777</v>
      </c>
      <c r="J7" s="9"/>
      <c r="K7" s="1" t="s">
        <v>8</v>
      </c>
      <c r="L7" s="9"/>
      <c r="M7" s="1"/>
    </row>
    <row r="8" spans="1:13" s="31" customFormat="1" ht="90.75" customHeight="1">
      <c r="A8" s="9">
        <v>4</v>
      </c>
      <c r="B8" s="162"/>
      <c r="C8" s="24" t="s">
        <v>775</v>
      </c>
      <c r="D8" s="24"/>
      <c r="E8" s="24" t="s">
        <v>135</v>
      </c>
      <c r="F8" s="24"/>
      <c r="G8" s="24" t="s">
        <v>778</v>
      </c>
      <c r="H8" s="24"/>
      <c r="I8" s="24" t="s">
        <v>779</v>
      </c>
      <c r="J8" s="9"/>
      <c r="K8" s="1" t="s">
        <v>8</v>
      </c>
      <c r="L8" s="9"/>
      <c r="M8" s="1"/>
    </row>
    <row r="9" spans="1:13" s="31" customFormat="1" ht="90.75" customHeight="1">
      <c r="A9" s="9">
        <v>5</v>
      </c>
      <c r="B9" s="162"/>
      <c r="C9" s="24" t="s">
        <v>775</v>
      </c>
      <c r="D9" s="24"/>
      <c r="E9" s="24" t="s">
        <v>135</v>
      </c>
      <c r="F9" s="24"/>
      <c r="G9" s="24" t="s">
        <v>785</v>
      </c>
      <c r="H9" s="24"/>
      <c r="I9" s="24" t="s">
        <v>786</v>
      </c>
      <c r="J9" s="9"/>
      <c r="K9" s="1" t="s">
        <v>8</v>
      </c>
      <c r="L9" s="9"/>
      <c r="M9" s="1"/>
    </row>
    <row r="10" spans="1:13" s="31" customFormat="1" ht="90.75" customHeight="1">
      <c r="A10" s="9">
        <v>6</v>
      </c>
      <c r="B10" s="162"/>
      <c r="C10" s="24" t="s">
        <v>775</v>
      </c>
      <c r="D10" s="24"/>
      <c r="E10" s="24" t="s">
        <v>135</v>
      </c>
      <c r="F10" s="24"/>
      <c r="G10" s="24" t="s">
        <v>787</v>
      </c>
      <c r="H10" s="24"/>
      <c r="I10" s="24" t="s">
        <v>788</v>
      </c>
      <c r="J10" s="9"/>
      <c r="K10" s="1" t="s">
        <v>8</v>
      </c>
      <c r="L10" s="9"/>
      <c r="M10" s="1"/>
    </row>
    <row r="11" spans="1:13" s="31" customFormat="1" ht="90.75" customHeight="1">
      <c r="A11" s="9">
        <v>7</v>
      </c>
      <c r="B11" s="156" t="s">
        <v>789</v>
      </c>
      <c r="C11" s="24" t="s">
        <v>775</v>
      </c>
      <c r="D11" s="24"/>
      <c r="E11" s="24" t="s">
        <v>135</v>
      </c>
      <c r="F11" s="24"/>
      <c r="G11" s="24" t="s">
        <v>790</v>
      </c>
      <c r="H11" s="24"/>
      <c r="I11" s="24" t="s">
        <v>791</v>
      </c>
      <c r="J11" s="9"/>
      <c r="K11" s="1" t="s">
        <v>8</v>
      </c>
      <c r="L11" s="9"/>
      <c r="M11" s="1"/>
    </row>
    <row r="12" spans="1:13" s="31" customFormat="1" ht="90.75" customHeight="1">
      <c r="A12" s="9">
        <v>8</v>
      </c>
      <c r="B12" s="156"/>
      <c r="C12" s="24" t="s">
        <v>775</v>
      </c>
      <c r="D12" s="24"/>
      <c r="E12" s="24" t="s">
        <v>135</v>
      </c>
      <c r="F12" s="24"/>
      <c r="G12" s="25" t="s">
        <v>792</v>
      </c>
      <c r="H12" s="24"/>
      <c r="I12" s="24" t="s">
        <v>793</v>
      </c>
      <c r="J12" s="9"/>
      <c r="K12" s="1" t="s">
        <v>8</v>
      </c>
      <c r="L12" s="9"/>
      <c r="M12" s="1"/>
    </row>
    <row r="13" spans="1:13" s="31" customFormat="1" ht="90.75" customHeight="1">
      <c r="A13" s="9">
        <v>9</v>
      </c>
      <c r="B13" s="25" t="s">
        <v>794</v>
      </c>
      <c r="C13" s="24" t="s">
        <v>775</v>
      </c>
      <c r="D13" s="24" t="s">
        <v>795</v>
      </c>
      <c r="E13" s="24" t="s">
        <v>135</v>
      </c>
      <c r="F13" s="24"/>
      <c r="G13" s="24"/>
      <c r="H13" s="24"/>
      <c r="I13" s="24"/>
      <c r="J13" s="9"/>
      <c r="K13" s="1" t="s">
        <v>2</v>
      </c>
      <c r="L13" s="9"/>
      <c r="M13" s="1"/>
    </row>
    <row r="14" spans="1:13" s="31" customFormat="1" ht="90.75" customHeight="1">
      <c r="A14" s="9">
        <v>10</v>
      </c>
      <c r="B14" s="25" t="s">
        <v>796</v>
      </c>
      <c r="C14" s="24"/>
      <c r="D14" s="24"/>
      <c r="E14" s="24" t="s">
        <v>135</v>
      </c>
      <c r="F14" s="24"/>
      <c r="G14" s="24"/>
      <c r="H14" s="24"/>
      <c r="I14" s="24"/>
      <c r="J14" s="9"/>
      <c r="K14" s="1" t="s">
        <v>2</v>
      </c>
      <c r="L14" s="9"/>
      <c r="M14" s="1"/>
    </row>
    <row r="15" spans="1:13" s="1" customFormat="1" ht="90.75" customHeight="1">
      <c r="A15" s="9">
        <v>11</v>
      </c>
      <c r="B15" s="157" t="s">
        <v>797</v>
      </c>
      <c r="C15" s="24" t="s">
        <v>775</v>
      </c>
      <c r="D15" s="24" t="s">
        <v>798</v>
      </c>
      <c r="E15" s="24" t="s">
        <v>135</v>
      </c>
      <c r="F15" s="24" t="s">
        <v>799</v>
      </c>
      <c r="G15" s="24" t="s">
        <v>800</v>
      </c>
      <c r="H15" s="24" t="s">
        <v>801</v>
      </c>
      <c r="I15" s="24"/>
      <c r="J15" s="9"/>
      <c r="K15" s="1" t="s">
        <v>2</v>
      </c>
      <c r="L15" s="9"/>
    </row>
    <row r="16" spans="1:13" s="1" customFormat="1" ht="90.75" customHeight="1">
      <c r="A16" s="9">
        <v>12</v>
      </c>
      <c r="B16" s="158"/>
      <c r="C16" s="24" t="s">
        <v>775</v>
      </c>
      <c r="D16" s="24" t="s">
        <v>798</v>
      </c>
      <c r="E16" s="24" t="s">
        <v>135</v>
      </c>
      <c r="F16" s="25"/>
      <c r="G16" s="24" t="s">
        <v>802</v>
      </c>
      <c r="H16" s="24"/>
      <c r="I16" s="24"/>
      <c r="J16" s="9"/>
      <c r="K16" s="1" t="s">
        <v>2</v>
      </c>
      <c r="L16" s="9"/>
    </row>
    <row r="17" spans="1:12" s="1" customFormat="1" ht="90.75" customHeight="1">
      <c r="A17" s="9">
        <v>13</v>
      </c>
      <c r="B17" s="158"/>
      <c r="C17" s="24" t="s">
        <v>775</v>
      </c>
      <c r="D17" s="24" t="s">
        <v>798</v>
      </c>
      <c r="E17" s="24" t="s">
        <v>135</v>
      </c>
      <c r="F17" s="24"/>
      <c r="G17" s="24" t="s">
        <v>803</v>
      </c>
      <c r="H17" s="24"/>
      <c r="I17" s="24" t="s">
        <v>804</v>
      </c>
      <c r="J17" s="9"/>
      <c r="K17" s="1" t="s">
        <v>2</v>
      </c>
      <c r="L17" s="9"/>
    </row>
    <row r="18" spans="1:12" s="1" customFormat="1" ht="90.75" customHeight="1">
      <c r="A18" s="9">
        <v>14</v>
      </c>
      <c r="B18" s="157" t="s">
        <v>805</v>
      </c>
      <c r="C18" s="24" t="s">
        <v>775</v>
      </c>
      <c r="D18" s="24"/>
      <c r="E18" s="24" t="s">
        <v>135</v>
      </c>
      <c r="F18" s="160" t="s">
        <v>806</v>
      </c>
      <c r="G18" s="24" t="s">
        <v>807</v>
      </c>
      <c r="H18" s="32" t="s">
        <v>808</v>
      </c>
      <c r="I18" s="24"/>
      <c r="J18" s="9"/>
      <c r="K18" s="1" t="s">
        <v>2</v>
      </c>
      <c r="L18" s="9"/>
    </row>
    <row r="19" spans="1:12" s="1" customFormat="1" ht="90.75" customHeight="1">
      <c r="A19" s="9">
        <v>15</v>
      </c>
      <c r="B19" s="158"/>
      <c r="C19" s="24" t="s">
        <v>775</v>
      </c>
      <c r="D19" s="24"/>
      <c r="E19" s="24" t="s">
        <v>135</v>
      </c>
      <c r="F19" s="158"/>
      <c r="G19" s="24" t="s">
        <v>809</v>
      </c>
      <c r="H19" s="24"/>
      <c r="I19" s="24"/>
      <c r="J19" s="9"/>
      <c r="K19" s="1" t="s">
        <v>2</v>
      </c>
      <c r="L19" s="9"/>
    </row>
    <row r="20" spans="1:12" s="1" customFormat="1" ht="90.75" customHeight="1">
      <c r="A20" s="9">
        <v>16</v>
      </c>
      <c r="B20" s="158"/>
      <c r="C20" s="24" t="s">
        <v>775</v>
      </c>
      <c r="D20" s="24"/>
      <c r="E20" s="24" t="s">
        <v>135</v>
      </c>
      <c r="F20" s="158"/>
      <c r="G20" s="24" t="s">
        <v>810</v>
      </c>
      <c r="H20" s="24"/>
      <c r="I20" s="24"/>
      <c r="J20" s="9"/>
      <c r="K20" s="1" t="s">
        <v>2</v>
      </c>
      <c r="L20" s="9"/>
    </row>
    <row r="21" spans="1:12" s="1" customFormat="1" ht="90.75" customHeight="1">
      <c r="A21" s="9">
        <v>17</v>
      </c>
      <c r="B21" s="158"/>
      <c r="C21" s="24" t="s">
        <v>775</v>
      </c>
      <c r="D21" s="24"/>
      <c r="E21" s="24" t="s">
        <v>135</v>
      </c>
      <c r="F21" s="158"/>
      <c r="G21" s="24" t="s">
        <v>811</v>
      </c>
      <c r="H21" s="24"/>
      <c r="I21" s="24"/>
      <c r="J21" s="9"/>
      <c r="K21" s="1" t="s">
        <v>2</v>
      </c>
      <c r="L21" s="9"/>
    </row>
    <row r="22" spans="1:12" s="1" customFormat="1" ht="90.75" customHeight="1">
      <c r="A22" s="9">
        <v>18</v>
      </c>
      <c r="B22" s="158"/>
      <c r="C22" s="24" t="s">
        <v>775</v>
      </c>
      <c r="D22" s="24"/>
      <c r="E22" s="24" t="s">
        <v>135</v>
      </c>
      <c r="F22" s="158"/>
      <c r="G22" s="24" t="s">
        <v>812</v>
      </c>
      <c r="H22" s="24"/>
      <c r="I22" s="25"/>
      <c r="J22" s="9"/>
      <c r="K22" s="1" t="s">
        <v>2</v>
      </c>
      <c r="L22" s="9"/>
    </row>
    <row r="23" spans="1:12" s="1" customFormat="1" ht="90.75" customHeight="1">
      <c r="A23" s="9">
        <v>19</v>
      </c>
      <c r="B23" s="158"/>
      <c r="C23" s="24" t="s">
        <v>775</v>
      </c>
      <c r="D23" s="24"/>
      <c r="E23" s="24" t="s">
        <v>135</v>
      </c>
      <c r="F23" s="158"/>
      <c r="G23" s="25" t="s">
        <v>813</v>
      </c>
      <c r="H23" s="24"/>
      <c r="I23" s="25"/>
      <c r="J23" s="9"/>
      <c r="K23" s="1" t="s">
        <v>2</v>
      </c>
      <c r="L23" s="9"/>
    </row>
    <row r="24" spans="1:12" s="1" customFormat="1" ht="90.75" customHeight="1">
      <c r="A24" s="9">
        <v>20</v>
      </c>
      <c r="B24" s="158"/>
      <c r="C24" s="24" t="s">
        <v>775</v>
      </c>
      <c r="D24" s="24"/>
      <c r="E24" s="24" t="s">
        <v>135</v>
      </c>
      <c r="F24" s="158"/>
      <c r="G24" s="25" t="s">
        <v>814</v>
      </c>
      <c r="H24" s="24"/>
      <c r="I24" s="25" t="s">
        <v>815</v>
      </c>
      <c r="J24" s="9"/>
      <c r="K24" s="1" t="s">
        <v>2</v>
      </c>
      <c r="L24" s="9"/>
    </row>
    <row r="25" spans="1:12" s="1" customFormat="1" ht="90.75" customHeight="1">
      <c r="A25" s="9">
        <v>21</v>
      </c>
      <c r="B25" s="25"/>
      <c r="C25" s="24" t="s">
        <v>775</v>
      </c>
      <c r="D25" s="24"/>
      <c r="E25" s="24" t="s">
        <v>135</v>
      </c>
      <c r="F25" s="24"/>
      <c r="G25" s="25"/>
      <c r="H25" s="24"/>
      <c r="I25" s="25"/>
      <c r="J25" s="9"/>
      <c r="K25" s="1" t="s">
        <v>2</v>
      </c>
      <c r="L25" s="9"/>
    </row>
    <row r="26" spans="1:12" s="1" customFormat="1" ht="90.75" customHeight="1">
      <c r="A26" s="9">
        <v>22</v>
      </c>
      <c r="B26" s="25" t="s">
        <v>816</v>
      </c>
      <c r="C26" s="24" t="s">
        <v>775</v>
      </c>
      <c r="D26" s="24"/>
      <c r="E26" s="24" t="s">
        <v>135</v>
      </c>
      <c r="F26" s="24"/>
      <c r="G26" s="25" t="s">
        <v>817</v>
      </c>
      <c r="H26" s="24"/>
      <c r="I26" s="25"/>
      <c r="J26" s="9"/>
      <c r="K26" s="1" t="s">
        <v>2</v>
      </c>
      <c r="L26" s="9"/>
    </row>
    <row r="27" spans="1:12" s="1" customFormat="1" ht="90.75" customHeight="1">
      <c r="A27" s="9">
        <v>23</v>
      </c>
      <c r="B27" s="25"/>
      <c r="C27" s="24" t="s">
        <v>775</v>
      </c>
      <c r="D27" s="24"/>
      <c r="E27" s="24" t="s">
        <v>135</v>
      </c>
      <c r="F27" s="24"/>
      <c r="G27" s="25" t="s">
        <v>818</v>
      </c>
      <c r="H27" s="24"/>
      <c r="I27" s="25"/>
      <c r="J27" s="9"/>
      <c r="K27" s="1" t="s">
        <v>2</v>
      </c>
      <c r="L27" s="9"/>
    </row>
    <row r="28" spans="1:12" s="1" customFormat="1" ht="185.25" customHeight="1">
      <c r="A28" s="9">
        <v>24</v>
      </c>
      <c r="B28" s="25"/>
      <c r="C28" s="24" t="s">
        <v>775</v>
      </c>
      <c r="D28" s="24"/>
      <c r="E28" s="24" t="s">
        <v>135</v>
      </c>
      <c r="F28" s="24"/>
      <c r="G28" s="33" t="s">
        <v>819</v>
      </c>
      <c r="H28" s="24"/>
      <c r="I28" s="25" t="s">
        <v>820</v>
      </c>
      <c r="J28" s="9"/>
      <c r="K28" s="1" t="s">
        <v>2</v>
      </c>
      <c r="L28" s="9"/>
    </row>
    <row r="29" spans="1:12" s="1" customFormat="1" ht="90.75" customHeight="1">
      <c r="A29" s="9">
        <v>25</v>
      </c>
      <c r="B29" s="25" t="s">
        <v>821</v>
      </c>
      <c r="C29" s="24" t="s">
        <v>775</v>
      </c>
      <c r="D29" s="24" t="s">
        <v>822</v>
      </c>
      <c r="E29" s="24" t="s">
        <v>135</v>
      </c>
      <c r="F29" s="24"/>
      <c r="G29" s="25" t="s">
        <v>823</v>
      </c>
      <c r="H29" s="24"/>
      <c r="I29" s="25" t="s">
        <v>824</v>
      </c>
      <c r="J29" s="9"/>
      <c r="K29" s="1" t="s">
        <v>2</v>
      </c>
      <c r="L29" s="9"/>
    </row>
    <row r="30" spans="1:12" s="1" customFormat="1" ht="90.75" customHeight="1">
      <c r="A30" s="9">
        <v>26</v>
      </c>
      <c r="B30" s="9" t="s">
        <v>825</v>
      </c>
      <c r="C30" s="24" t="s">
        <v>775</v>
      </c>
      <c r="D30" s="9" t="s">
        <v>826</v>
      </c>
      <c r="E30" s="24" t="s">
        <v>135</v>
      </c>
      <c r="F30" s="9"/>
      <c r="G30" s="8" t="s">
        <v>827</v>
      </c>
      <c r="H30" s="9"/>
      <c r="I30" s="8" t="s">
        <v>828</v>
      </c>
      <c r="J30" s="9"/>
      <c r="K30" s="1" t="s">
        <v>2</v>
      </c>
      <c r="L30" s="9"/>
    </row>
    <row r="31" spans="1:12" s="1" customFormat="1" ht="90.75" customHeight="1">
      <c r="A31" s="9">
        <v>27</v>
      </c>
      <c r="B31" s="8" t="s">
        <v>829</v>
      </c>
      <c r="C31" s="24" t="s">
        <v>775</v>
      </c>
      <c r="D31" s="9" t="s">
        <v>830</v>
      </c>
      <c r="E31" s="24" t="s">
        <v>135</v>
      </c>
      <c r="F31" s="9" t="s">
        <v>831</v>
      </c>
      <c r="G31" s="8" t="s">
        <v>832</v>
      </c>
      <c r="H31" s="9"/>
      <c r="I31" s="8" t="s">
        <v>833</v>
      </c>
      <c r="J31" s="9"/>
      <c r="K31" s="1" t="s">
        <v>2</v>
      </c>
      <c r="L31" s="9"/>
    </row>
    <row r="32" spans="1:12" s="1" customFormat="1" ht="90.75" customHeight="1">
      <c r="A32" s="9">
        <v>28</v>
      </c>
      <c r="B32" s="8" t="s">
        <v>834</v>
      </c>
      <c r="C32" s="24" t="s">
        <v>775</v>
      </c>
      <c r="D32" s="9" t="s">
        <v>835</v>
      </c>
      <c r="E32" s="24" t="s">
        <v>135</v>
      </c>
      <c r="F32" s="9"/>
      <c r="G32" s="8" t="s">
        <v>836</v>
      </c>
      <c r="H32" s="9"/>
      <c r="I32" s="8"/>
      <c r="J32" s="9"/>
      <c r="K32" s="1" t="s">
        <v>2</v>
      </c>
      <c r="L32" s="9"/>
    </row>
    <row r="33" spans="1:12" s="1" customFormat="1" ht="90.75" customHeight="1">
      <c r="A33" s="9">
        <v>29</v>
      </c>
      <c r="B33" s="9" t="s">
        <v>837</v>
      </c>
      <c r="C33" s="24" t="s">
        <v>775</v>
      </c>
      <c r="D33" s="9" t="s">
        <v>838</v>
      </c>
      <c r="E33" s="24" t="s">
        <v>135</v>
      </c>
      <c r="F33" s="9"/>
      <c r="G33" s="8" t="s">
        <v>839</v>
      </c>
      <c r="H33" s="9"/>
      <c r="I33" s="8" t="s">
        <v>840</v>
      </c>
      <c r="J33" s="9"/>
      <c r="K33" s="1" t="s">
        <v>2</v>
      </c>
      <c r="L33" s="9"/>
    </row>
    <row r="34" spans="1:12" ht="137.25" customHeight="1">
      <c r="A34" s="9">
        <v>30</v>
      </c>
      <c r="B34" s="9" t="s">
        <v>841</v>
      </c>
      <c r="C34" s="24" t="s">
        <v>775</v>
      </c>
      <c r="D34" s="9" t="s">
        <v>838</v>
      </c>
      <c r="E34" s="24" t="s">
        <v>135</v>
      </c>
      <c r="F34" s="9"/>
      <c r="G34" s="8" t="s">
        <v>839</v>
      </c>
      <c r="H34" s="9"/>
      <c r="I34" s="8" t="s">
        <v>842</v>
      </c>
      <c r="J34" s="6"/>
      <c r="K34" s="1" t="s">
        <v>2</v>
      </c>
      <c r="L34" s="6"/>
    </row>
    <row r="35" spans="1:12" ht="45.75" customHeight="1">
      <c r="A35" s="9">
        <v>31</v>
      </c>
      <c r="B35" s="9" t="s">
        <v>843</v>
      </c>
      <c r="C35" s="24" t="s">
        <v>775</v>
      </c>
      <c r="D35" s="6" t="s">
        <v>844</v>
      </c>
      <c r="E35" s="24" t="s">
        <v>135</v>
      </c>
      <c r="F35" s="6"/>
      <c r="G35" s="8"/>
      <c r="H35" s="6"/>
      <c r="I35" s="8" t="s">
        <v>845</v>
      </c>
      <c r="J35" s="6"/>
      <c r="K35" s="1" t="s">
        <v>2</v>
      </c>
      <c r="L35" s="6"/>
    </row>
    <row r="36" spans="1:12" ht="152.25" customHeight="1">
      <c r="A36" s="9">
        <v>32</v>
      </c>
      <c r="B36" s="9" t="s">
        <v>846</v>
      </c>
      <c r="C36" s="24" t="s">
        <v>775</v>
      </c>
      <c r="D36" s="35" t="s">
        <v>847</v>
      </c>
      <c r="E36" s="24" t="s">
        <v>135</v>
      </c>
      <c r="F36" s="35" t="s">
        <v>848</v>
      </c>
      <c r="G36" s="8" t="s">
        <v>849</v>
      </c>
      <c r="H36" s="6"/>
      <c r="I36" s="34" t="s">
        <v>850</v>
      </c>
      <c r="J36" s="6"/>
      <c r="K36" s="1" t="s">
        <v>2</v>
      </c>
      <c r="L36" s="6"/>
    </row>
    <row r="37" spans="1:12" ht="45.75" customHeight="1">
      <c r="A37" s="6">
        <v>33</v>
      </c>
      <c r="B37" s="6" t="s">
        <v>851</v>
      </c>
      <c r="C37" s="6"/>
      <c r="D37" s="6"/>
      <c r="E37" s="6"/>
      <c r="F37" s="6"/>
      <c r="G37" s="8" t="s">
        <v>852</v>
      </c>
      <c r="H37" s="6"/>
      <c r="I37" s="17" t="s">
        <v>853</v>
      </c>
      <c r="J37" s="17" t="s">
        <v>854</v>
      </c>
      <c r="K37" s="1" t="s">
        <v>2</v>
      </c>
      <c r="L37" s="12" t="s">
        <v>855</v>
      </c>
    </row>
    <row r="38" spans="1:12" ht="229.5" customHeight="1">
      <c r="A38" s="6">
        <v>34</v>
      </c>
      <c r="B38" s="8" t="s">
        <v>856</v>
      </c>
      <c r="C38" s="6"/>
      <c r="D38" s="6"/>
      <c r="E38" s="6"/>
      <c r="F38" s="9"/>
      <c r="G38" s="8" t="s">
        <v>857</v>
      </c>
      <c r="H38" s="6"/>
      <c r="I38" s="17" t="s">
        <v>858</v>
      </c>
      <c r="J38" s="6" t="s">
        <v>859</v>
      </c>
      <c r="K38" s="1" t="s">
        <v>2</v>
      </c>
      <c r="L38" s="12" t="s">
        <v>860</v>
      </c>
    </row>
    <row r="39" spans="1:12" ht="60.75" customHeight="1">
      <c r="A39" s="6">
        <v>35</v>
      </c>
      <c r="B39" s="8" t="s">
        <v>861</v>
      </c>
      <c r="C39" s="6"/>
      <c r="D39" s="6"/>
      <c r="E39" s="6"/>
      <c r="F39" s="6"/>
      <c r="G39" s="8" t="s">
        <v>862</v>
      </c>
      <c r="H39" s="6"/>
      <c r="I39" s="8" t="s">
        <v>863</v>
      </c>
      <c r="J39" s="6"/>
      <c r="K39" s="1" t="s">
        <v>2</v>
      </c>
      <c r="L39" s="12" t="s">
        <v>864</v>
      </c>
    </row>
    <row r="40" spans="1:12" ht="76.5" customHeight="1">
      <c r="A40" s="6">
        <v>36</v>
      </c>
      <c r="B40" s="8" t="s">
        <v>865</v>
      </c>
      <c r="C40" s="6"/>
      <c r="D40" s="6"/>
      <c r="E40" s="6"/>
      <c r="F40" s="6"/>
      <c r="G40" s="8" t="s">
        <v>866</v>
      </c>
      <c r="H40" s="6"/>
      <c r="I40" s="8" t="s">
        <v>867</v>
      </c>
      <c r="J40" s="6"/>
      <c r="K40" s="1" t="s">
        <v>2</v>
      </c>
      <c r="L40" s="12" t="s">
        <v>868</v>
      </c>
    </row>
    <row r="41" spans="1:12">
      <c r="A41" s="6"/>
      <c r="B41" s="8"/>
      <c r="C41" s="6"/>
      <c r="D41" s="6"/>
      <c r="E41" s="6"/>
      <c r="F41" s="6"/>
      <c r="G41" s="8"/>
      <c r="H41" s="6"/>
      <c r="I41" s="8"/>
      <c r="J41" s="6"/>
      <c r="K41" s="1"/>
      <c r="L41" s="6"/>
    </row>
    <row r="42" spans="1:12">
      <c r="A42" s="6"/>
      <c r="B42" s="8"/>
      <c r="C42" s="6"/>
      <c r="D42" s="6"/>
      <c r="E42" s="6"/>
      <c r="F42" s="6"/>
      <c r="G42" s="8"/>
      <c r="H42" s="6"/>
      <c r="I42" s="8"/>
      <c r="J42" s="6"/>
      <c r="K42" s="1"/>
      <c r="L42" s="6"/>
    </row>
    <row r="43" spans="1:12">
      <c r="A43" s="6"/>
      <c r="B43" s="10"/>
      <c r="C43" s="6"/>
      <c r="D43" s="6"/>
      <c r="E43" s="6"/>
      <c r="F43" s="6"/>
      <c r="G43" s="8"/>
      <c r="H43" s="6"/>
      <c r="I43" s="11"/>
      <c r="J43" s="6"/>
      <c r="K43" s="1"/>
      <c r="L43" s="6"/>
    </row>
    <row r="44" spans="1:12">
      <c r="A44" s="6"/>
      <c r="B44" s="8"/>
      <c r="C44" s="6"/>
      <c r="D44" s="6"/>
      <c r="E44" s="6"/>
      <c r="F44" s="6"/>
      <c r="G44" s="8"/>
      <c r="H44" s="6"/>
      <c r="I44" s="8"/>
      <c r="J44" s="6"/>
      <c r="K44" s="1"/>
      <c r="L44" s="6"/>
    </row>
    <row r="45" spans="1:12">
      <c r="A45" s="6"/>
      <c r="B45" s="161"/>
      <c r="C45" s="159"/>
      <c r="D45" s="22"/>
      <c r="E45" s="22"/>
      <c r="F45" s="6"/>
      <c r="G45" s="8"/>
      <c r="H45" s="6"/>
      <c r="I45" s="8"/>
      <c r="J45" s="6"/>
      <c r="K45" s="1"/>
      <c r="L45" s="6"/>
    </row>
    <row r="46" spans="1:12">
      <c r="A46" s="6"/>
      <c r="B46" s="158"/>
      <c r="C46" s="181"/>
      <c r="D46" s="22"/>
      <c r="E46" s="22"/>
      <c r="F46" s="6"/>
      <c r="G46" s="8"/>
      <c r="H46" s="6"/>
      <c r="I46" s="8"/>
      <c r="J46" s="6"/>
      <c r="K46" s="1"/>
      <c r="L46" s="6"/>
    </row>
    <row r="47" spans="1:12">
      <c r="A47" s="6"/>
      <c r="C47" s="6"/>
      <c r="D47" s="6"/>
      <c r="E47" s="6"/>
      <c r="G47" s="1"/>
      <c r="K47" s="1"/>
      <c r="L47" s="12"/>
    </row>
    <row r="48" spans="1:12">
      <c r="A48" s="6"/>
      <c r="C48" s="6"/>
      <c r="D48" s="6"/>
      <c r="E48" s="6"/>
      <c r="G48" s="1"/>
      <c r="K48" s="1"/>
      <c r="L48" s="12"/>
    </row>
    <row r="49" spans="1:13">
      <c r="A49" s="6"/>
      <c r="G49" s="1"/>
      <c r="I49" s="1"/>
      <c r="K49" s="1"/>
      <c r="L49" s="12"/>
    </row>
    <row r="50" spans="1:13">
      <c r="A50" s="6"/>
      <c r="G50" s="1"/>
      <c r="K50" s="1"/>
    </row>
    <row r="51" spans="1:13">
      <c r="A51" s="6"/>
      <c r="G51" s="1"/>
      <c r="K51" s="1"/>
    </row>
    <row r="52" spans="1:13" ht="192.75" customHeight="1">
      <c r="A52" s="6">
        <v>39</v>
      </c>
      <c r="G52" s="1"/>
      <c r="I52" s="1"/>
      <c r="K52" s="1"/>
    </row>
    <row r="53" spans="1:13" ht="273.75" customHeight="1">
      <c r="A53" s="6">
        <v>40</v>
      </c>
      <c r="B53" s="21"/>
      <c r="G53" s="1"/>
      <c r="I53" s="1"/>
      <c r="J53" s="1"/>
      <c r="K53" s="1"/>
      <c r="L53" s="12"/>
      <c r="M53" s="12"/>
    </row>
    <row r="54" spans="1:13">
      <c r="K54" s="1"/>
    </row>
    <row r="55" spans="1:13">
      <c r="K55" s="1"/>
    </row>
    <row r="56" spans="1:13">
      <c r="K56" s="1"/>
    </row>
    <row r="57" spans="1:13">
      <c r="K57" s="1"/>
    </row>
    <row r="58" spans="1:13">
      <c r="K58" s="1"/>
    </row>
    <row r="59" spans="1:13">
      <c r="K59" s="1"/>
    </row>
    <row r="60" spans="1:13">
      <c r="K60" s="1"/>
    </row>
    <row r="61" spans="1:13">
      <c r="K61" s="1"/>
    </row>
    <row r="62" spans="1:13">
      <c r="K62" s="1"/>
    </row>
    <row r="63" spans="1:13">
      <c r="K63" s="1"/>
    </row>
    <row r="64" spans="1:13">
      <c r="K64" s="1"/>
    </row>
    <row r="65" spans="11:11">
      <c r="K65" s="1"/>
    </row>
    <row r="66" spans="11:11">
      <c r="K66" s="1"/>
    </row>
    <row r="67" spans="11:11">
      <c r="K67" s="1"/>
    </row>
    <row r="68" spans="11:11">
      <c r="K68" s="1"/>
    </row>
    <row r="69" spans="11:11">
      <c r="K69" s="1"/>
    </row>
    <row r="70" spans="11:11">
      <c r="K70" s="1"/>
    </row>
    <row r="71" spans="11:11">
      <c r="K71" s="1"/>
    </row>
    <row r="72" spans="11:11">
      <c r="K72" s="1"/>
    </row>
    <row r="73" spans="11:11">
      <c r="K73" s="1"/>
    </row>
    <row r="74" spans="11:11">
      <c r="K74" s="1"/>
    </row>
    <row r="75" spans="11:11">
      <c r="K75" s="1"/>
    </row>
    <row r="76" spans="11:11">
      <c r="K76" s="1"/>
    </row>
    <row r="77" spans="11:11">
      <c r="K77" s="1"/>
    </row>
    <row r="78" spans="11:11">
      <c r="K78" s="1"/>
    </row>
    <row r="79" spans="11:11">
      <c r="K79" s="1"/>
    </row>
    <row r="80" spans="11:11">
      <c r="K80" s="1"/>
    </row>
    <row r="81" spans="11:11">
      <c r="K81" s="1"/>
    </row>
    <row r="82" spans="11:11">
      <c r="K82" s="1"/>
    </row>
    <row r="83" spans="11:11">
      <c r="K83" s="1"/>
    </row>
    <row r="84" spans="11:11">
      <c r="K84" s="1"/>
    </row>
  </sheetData>
  <mergeCells count="8">
    <mergeCell ref="B4:B5"/>
    <mergeCell ref="B18:B24"/>
    <mergeCell ref="B15:B17"/>
    <mergeCell ref="C45:C46"/>
    <mergeCell ref="F18:F24"/>
    <mergeCell ref="B45:B46"/>
    <mergeCell ref="B11:B12"/>
    <mergeCell ref="B7:B10"/>
  </mergeCells>
  <dataValidations count="2">
    <dataValidation type="list" allowBlank="1" showInputMessage="1" showErrorMessage="1" sqref="K41:K84" xr:uid="{00000000-0002-0000-0800-000000000000}">
      <formula1>"Test Design Completed, In Design, Internal Review, In Business Review, Ready, Fail, Pass, In Progress"</formula1>
    </dataValidation>
    <dataValidation type="list" allowBlank="1" showInputMessage="1" showErrorMessage="1" sqref="K4:K40" xr:uid="{00000000-0002-0000-0800-000001000000}">
      <formula1>"In Design, Ready, Reviewed Completed, Pass, Fail, Blocked, No Run"</formula1>
    </dataValidation>
  </dataValidations>
  <hyperlinks>
    <hyperlink ref="L37" r:id="rId1" xr:uid="{00000000-0004-0000-0800-000000000000}"/>
    <hyperlink ref="L38" r:id="rId2" xr:uid="{00000000-0004-0000-0800-000001000000}"/>
    <hyperlink ref="L39" r:id="rId3" xr:uid="{00000000-0004-0000-0800-000002000000}"/>
    <hyperlink ref="L40" r:id="rId4" xr:uid="{00000000-0004-0000-08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AD08A-E247-45F3-ACCA-97432730C685}">
  <dimension ref="A1:R74"/>
  <sheetViews>
    <sheetView workbookViewId="0">
      <pane ySplit="2" topLeftCell="A3" activePane="bottomLeft" state="frozen"/>
      <selection pane="bottomLeft" activeCell="F9" sqref="F9"/>
    </sheetView>
  </sheetViews>
  <sheetFormatPr defaultRowHeight="15"/>
  <cols>
    <col min="1" max="1" width="10.85546875" customWidth="1"/>
    <col min="2" max="2" width="52.42578125" customWidth="1"/>
    <col min="3" max="3" width="30.42578125" hidden="1" customWidth="1"/>
    <col min="4" max="4" width="24.5703125" hidden="1" customWidth="1"/>
    <col min="5" max="5" width="28.85546875" hidden="1" customWidth="1"/>
    <col min="6" max="6" width="37.42578125" customWidth="1"/>
    <col min="7" max="7" width="69.140625" customWidth="1"/>
    <col min="8" max="8" width="43.28515625" customWidth="1"/>
    <col min="9" max="9" width="54.140625" customWidth="1"/>
    <col min="10" max="10" width="30.28515625" customWidth="1"/>
    <col min="11" max="11" width="45.140625" hidden="1" customWidth="1"/>
    <col min="12" max="12" width="62.28515625" hidden="1" customWidth="1"/>
  </cols>
  <sheetData>
    <row r="1" spans="1:18">
      <c r="A1" s="3">
        <f>COUNT(A3:A70)</f>
        <v>61</v>
      </c>
      <c r="B1" s="3" t="s">
        <v>127</v>
      </c>
      <c r="C1" s="3"/>
      <c r="D1" s="3"/>
      <c r="E1" s="3"/>
      <c r="F1" s="3"/>
      <c r="G1" s="3"/>
      <c r="H1" s="3"/>
      <c r="I1" s="16"/>
      <c r="J1" s="3"/>
      <c r="K1" s="3"/>
      <c r="L1" s="3"/>
      <c r="M1" s="3"/>
      <c r="N1" s="3"/>
      <c r="O1" s="3"/>
      <c r="P1" s="3"/>
      <c r="Q1" s="3"/>
      <c r="R1" s="3"/>
    </row>
    <row r="2" spans="1:18" ht="30.75">
      <c r="A2" s="76" t="s">
        <v>18</v>
      </c>
      <c r="B2" s="76" t="s">
        <v>339</v>
      </c>
      <c r="C2" s="76" t="s">
        <v>20</v>
      </c>
      <c r="D2" s="76" t="s">
        <v>128</v>
      </c>
      <c r="E2" s="76" t="s">
        <v>773</v>
      </c>
      <c r="F2" s="76" t="s">
        <v>21</v>
      </c>
      <c r="G2" s="76" t="s">
        <v>22</v>
      </c>
      <c r="H2" s="76" t="s">
        <v>340</v>
      </c>
      <c r="I2" s="60" t="s">
        <v>24</v>
      </c>
      <c r="J2" s="76" t="s">
        <v>0</v>
      </c>
      <c r="K2" s="76" t="s">
        <v>341</v>
      </c>
      <c r="L2" s="3" t="s">
        <v>131</v>
      </c>
      <c r="M2" s="3"/>
      <c r="N2" s="3"/>
      <c r="O2" s="3"/>
      <c r="P2" s="3"/>
      <c r="Q2" s="3"/>
      <c r="R2" s="3"/>
    </row>
    <row r="3" spans="1:18" ht="100.5" customHeight="1">
      <c r="A3" s="3">
        <v>1</v>
      </c>
      <c r="B3" s="165" t="s">
        <v>869</v>
      </c>
      <c r="C3" s="3"/>
      <c r="D3" s="3"/>
      <c r="E3" s="3"/>
      <c r="F3" s="126" t="s">
        <v>870</v>
      </c>
      <c r="G3" s="125" t="s">
        <v>871</v>
      </c>
      <c r="H3" s="16"/>
      <c r="I3" s="125" t="s">
        <v>872</v>
      </c>
      <c r="J3" s="3" t="s">
        <v>8</v>
      </c>
      <c r="K3" s="3"/>
      <c r="L3" s="77" t="s">
        <v>873</v>
      </c>
      <c r="M3" s="3"/>
      <c r="N3" s="3"/>
      <c r="O3" s="3"/>
      <c r="P3" s="3"/>
      <c r="Q3" s="3"/>
      <c r="R3" s="3"/>
    </row>
    <row r="4" spans="1:18" ht="30.75">
      <c r="A4" s="3">
        <v>2</v>
      </c>
      <c r="B4" s="166"/>
      <c r="C4" s="3"/>
      <c r="D4" s="3"/>
      <c r="E4" s="3"/>
      <c r="F4" s="124"/>
      <c r="G4" s="127" t="s">
        <v>874</v>
      </c>
      <c r="H4" s="16"/>
      <c r="I4" s="127" t="s">
        <v>875</v>
      </c>
      <c r="J4" s="3" t="s">
        <v>8</v>
      </c>
      <c r="K4" s="3"/>
      <c r="L4" s="77"/>
      <c r="M4" s="3"/>
      <c r="N4" s="3"/>
      <c r="O4" s="3"/>
      <c r="P4" s="3"/>
      <c r="Q4" s="3"/>
      <c r="R4" s="3"/>
    </row>
    <row r="5" spans="1:18">
      <c r="A5" s="3">
        <v>3</v>
      </c>
      <c r="B5" s="167"/>
      <c r="C5" s="3"/>
      <c r="D5" s="3"/>
      <c r="E5" s="3"/>
      <c r="F5" s="124"/>
      <c r="G5" s="127" t="s">
        <v>876</v>
      </c>
      <c r="H5" s="16"/>
      <c r="I5" s="127" t="s">
        <v>877</v>
      </c>
      <c r="J5" s="3" t="s">
        <v>8</v>
      </c>
      <c r="K5" s="3"/>
      <c r="L5" s="77"/>
      <c r="M5" s="3"/>
      <c r="N5" s="3"/>
      <c r="O5" s="3"/>
      <c r="P5" s="3"/>
      <c r="Q5" s="3"/>
      <c r="R5" s="3"/>
    </row>
    <row r="6" spans="1:18" ht="45.75">
      <c r="A6" s="3">
        <v>4</v>
      </c>
      <c r="B6" s="124" t="s">
        <v>878</v>
      </c>
      <c r="C6" s="3"/>
      <c r="D6" s="3"/>
      <c r="E6" s="3"/>
      <c r="F6" s="124" t="s">
        <v>879</v>
      </c>
      <c r="G6" s="124" t="s">
        <v>880</v>
      </c>
      <c r="H6" s="3"/>
      <c r="I6" s="124" t="s">
        <v>881</v>
      </c>
      <c r="J6" s="3" t="s">
        <v>8</v>
      </c>
      <c r="K6" s="3"/>
      <c r="L6" s="3"/>
      <c r="M6" s="3"/>
      <c r="N6" s="3"/>
      <c r="O6" s="16"/>
      <c r="P6" s="3"/>
      <c r="Q6" s="3"/>
      <c r="R6" s="3"/>
    </row>
    <row r="7" spans="1:18" ht="30.75">
      <c r="A7" s="3">
        <v>5</v>
      </c>
      <c r="B7" s="124"/>
      <c r="C7" s="3"/>
      <c r="D7" s="3"/>
      <c r="E7" s="3"/>
      <c r="F7" s="124"/>
      <c r="G7" s="124" t="s">
        <v>882</v>
      </c>
      <c r="H7" s="3"/>
      <c r="I7" s="124" t="s">
        <v>883</v>
      </c>
      <c r="J7" s="3" t="s">
        <v>8</v>
      </c>
      <c r="K7" s="3"/>
      <c r="L7" s="3"/>
      <c r="M7" s="3"/>
      <c r="N7" s="3"/>
      <c r="O7" s="16"/>
      <c r="P7" s="3"/>
      <c r="Q7" s="3"/>
      <c r="R7" s="3"/>
    </row>
    <row r="8" spans="1:18" ht="106.5">
      <c r="A8" s="3">
        <v>6</v>
      </c>
      <c r="B8" s="124"/>
      <c r="C8" s="3"/>
      <c r="D8" s="3"/>
      <c r="E8" s="3"/>
      <c r="F8" s="124"/>
      <c r="G8" s="124" t="s">
        <v>884</v>
      </c>
      <c r="H8" s="3"/>
      <c r="I8" s="124" t="s">
        <v>885</v>
      </c>
      <c r="J8" s="3" t="s">
        <v>8</v>
      </c>
      <c r="K8" s="3"/>
      <c r="L8" s="3"/>
      <c r="M8" s="3"/>
      <c r="N8" s="3"/>
      <c r="O8" s="16"/>
      <c r="P8" s="3"/>
      <c r="Q8" s="3"/>
      <c r="R8" s="3"/>
    </row>
    <row r="9" spans="1:18" ht="76.5" customHeight="1">
      <c r="A9" s="3">
        <v>7</v>
      </c>
      <c r="B9" s="124"/>
      <c r="C9" s="3"/>
      <c r="D9" s="3"/>
      <c r="E9" s="3"/>
      <c r="F9" s="124"/>
      <c r="G9" s="124" t="s">
        <v>886</v>
      </c>
      <c r="H9" s="3"/>
      <c r="I9" s="124" t="s">
        <v>887</v>
      </c>
      <c r="J9" s="3" t="s">
        <v>8</v>
      </c>
      <c r="K9" s="3"/>
      <c r="L9" s="3"/>
      <c r="M9" s="3"/>
      <c r="N9" s="3"/>
      <c r="O9" s="16"/>
      <c r="P9" s="3"/>
      <c r="Q9" s="3"/>
      <c r="R9" s="3"/>
    </row>
    <row r="10" spans="1:18" ht="76.5" customHeight="1">
      <c r="A10" s="3">
        <v>8</v>
      </c>
      <c r="B10" s="124"/>
      <c r="C10" s="3"/>
      <c r="D10" s="3"/>
      <c r="E10" s="3"/>
      <c r="F10" s="124"/>
      <c r="G10" s="124" t="s">
        <v>888</v>
      </c>
      <c r="H10" s="3"/>
      <c r="I10" s="124" t="s">
        <v>889</v>
      </c>
      <c r="J10" s="3" t="s">
        <v>8</v>
      </c>
      <c r="K10" s="3"/>
      <c r="L10" s="3"/>
      <c r="M10" s="3"/>
      <c r="N10" s="3"/>
      <c r="O10" s="16"/>
      <c r="P10" s="3"/>
      <c r="Q10" s="3"/>
      <c r="R10" s="3"/>
    </row>
    <row r="11" spans="1:18" ht="76.5" customHeight="1">
      <c r="A11" s="3">
        <v>9</v>
      </c>
      <c r="B11" s="124"/>
      <c r="C11" s="3"/>
      <c r="D11" s="3"/>
      <c r="E11" s="3"/>
      <c r="F11" s="124"/>
      <c r="G11" s="124" t="s">
        <v>890</v>
      </c>
      <c r="H11" s="3"/>
      <c r="I11" s="124" t="s">
        <v>891</v>
      </c>
      <c r="J11" s="3" t="s">
        <v>8</v>
      </c>
      <c r="K11" s="3"/>
      <c r="L11" s="3"/>
      <c r="M11" s="3"/>
      <c r="N11" s="3"/>
      <c r="O11" s="16"/>
      <c r="P11" s="3"/>
      <c r="Q11" s="3"/>
      <c r="R11" s="3"/>
    </row>
    <row r="12" spans="1:18" ht="76.5" customHeight="1">
      <c r="A12" s="3">
        <v>10</v>
      </c>
      <c r="B12" s="124"/>
      <c r="C12" s="3"/>
      <c r="D12" s="3"/>
      <c r="E12" s="3"/>
      <c r="F12" s="124"/>
      <c r="G12" s="124" t="s">
        <v>892</v>
      </c>
      <c r="H12" s="3"/>
      <c r="I12" s="124"/>
      <c r="J12" s="3" t="s">
        <v>8</v>
      </c>
      <c r="K12" s="3"/>
      <c r="L12" s="3"/>
      <c r="M12" s="3"/>
      <c r="N12" s="3"/>
      <c r="O12" s="16"/>
      <c r="P12" s="3"/>
      <c r="Q12" s="3"/>
      <c r="R12" s="3"/>
    </row>
    <row r="13" spans="1:18" ht="76.5" customHeight="1">
      <c r="A13" s="3">
        <v>11</v>
      </c>
      <c r="B13" s="124"/>
      <c r="C13" s="3"/>
      <c r="D13" s="3"/>
      <c r="E13" s="3"/>
      <c r="F13" s="124"/>
      <c r="G13" s="124" t="s">
        <v>893</v>
      </c>
      <c r="H13" s="3"/>
      <c r="I13" s="124" t="s">
        <v>894</v>
      </c>
      <c r="J13" s="3" t="s">
        <v>8</v>
      </c>
      <c r="K13" s="3"/>
      <c r="L13" s="3"/>
      <c r="M13" s="3"/>
      <c r="N13" s="3"/>
      <c r="O13" s="16"/>
      <c r="P13" s="3"/>
      <c r="Q13" s="3"/>
      <c r="R13" s="3"/>
    </row>
    <row r="14" spans="1:18" ht="76.5" customHeight="1">
      <c r="A14" s="3">
        <v>12</v>
      </c>
      <c r="B14" s="124"/>
      <c r="C14" s="3"/>
      <c r="D14" s="3"/>
      <c r="E14" s="3"/>
      <c r="F14" s="124"/>
      <c r="G14" s="124" t="s">
        <v>895</v>
      </c>
      <c r="H14" s="3"/>
      <c r="I14" s="124" t="s">
        <v>896</v>
      </c>
      <c r="J14" s="3" t="s">
        <v>8</v>
      </c>
      <c r="K14" s="3"/>
      <c r="L14" s="3"/>
      <c r="M14" s="3"/>
      <c r="N14" s="3"/>
      <c r="O14" s="16"/>
      <c r="P14" s="3"/>
      <c r="Q14" s="3"/>
      <c r="R14" s="3"/>
    </row>
    <row r="15" spans="1:18" ht="76.5" customHeight="1">
      <c r="A15" s="3">
        <v>13</v>
      </c>
      <c r="B15" s="124"/>
      <c r="C15" s="3"/>
      <c r="D15" s="3"/>
      <c r="E15" s="3"/>
      <c r="F15" s="124"/>
      <c r="G15" s="124" t="s">
        <v>897</v>
      </c>
      <c r="H15" s="3"/>
      <c r="I15" s="124" t="s">
        <v>898</v>
      </c>
      <c r="J15" s="3" t="s">
        <v>8</v>
      </c>
      <c r="K15" s="3"/>
      <c r="L15" s="3"/>
      <c r="M15" s="3"/>
      <c r="N15" s="3"/>
      <c r="O15" s="16"/>
      <c r="P15" s="3"/>
      <c r="Q15" s="3"/>
      <c r="R15" s="3"/>
    </row>
    <row r="16" spans="1:18" ht="76.5" customHeight="1">
      <c r="A16" s="3">
        <v>14</v>
      </c>
      <c r="B16" s="124"/>
      <c r="C16" s="3"/>
      <c r="D16" s="3"/>
      <c r="E16" s="3"/>
      <c r="F16" s="124"/>
      <c r="G16" s="124" t="s">
        <v>899</v>
      </c>
      <c r="H16" s="3"/>
      <c r="I16" s="124" t="s">
        <v>900</v>
      </c>
      <c r="J16" s="3" t="s">
        <v>8</v>
      </c>
      <c r="K16" s="3"/>
      <c r="L16" s="3"/>
      <c r="M16" s="3"/>
      <c r="N16" s="3"/>
      <c r="O16" s="16"/>
      <c r="P16" s="3"/>
      <c r="Q16" s="3"/>
      <c r="R16" s="3"/>
    </row>
    <row r="17" spans="1:18" ht="76.5" customHeight="1">
      <c r="A17" s="3">
        <v>15</v>
      </c>
      <c r="B17" s="124"/>
      <c r="C17" s="3"/>
      <c r="D17" s="3"/>
      <c r="E17" s="3"/>
      <c r="F17" s="124"/>
      <c r="G17" s="124" t="s">
        <v>901</v>
      </c>
      <c r="H17" s="3"/>
      <c r="I17" s="124" t="s">
        <v>902</v>
      </c>
      <c r="J17" s="3" t="s">
        <v>8</v>
      </c>
      <c r="K17" s="3"/>
      <c r="L17" s="3"/>
      <c r="M17" s="3"/>
      <c r="N17" s="3"/>
      <c r="O17" s="16"/>
      <c r="P17" s="3"/>
      <c r="Q17" s="3"/>
      <c r="R17" s="3"/>
    </row>
    <row r="18" spans="1:18" ht="76.5" customHeight="1">
      <c r="A18" s="3">
        <v>16</v>
      </c>
      <c r="B18" s="124"/>
      <c r="C18" s="3"/>
      <c r="D18" s="3"/>
      <c r="E18" s="3"/>
      <c r="F18" s="124"/>
      <c r="G18" s="124" t="s">
        <v>903</v>
      </c>
      <c r="H18" s="3"/>
      <c r="I18" s="124" t="s">
        <v>904</v>
      </c>
      <c r="J18" s="3" t="s">
        <v>8</v>
      </c>
      <c r="K18" s="3"/>
      <c r="L18" s="3"/>
      <c r="M18" s="3"/>
      <c r="N18" s="3"/>
      <c r="O18" s="16"/>
      <c r="P18" s="3"/>
      <c r="Q18" s="3"/>
      <c r="R18" s="3"/>
    </row>
    <row r="19" spans="1:18" ht="76.5" customHeight="1">
      <c r="A19" s="3">
        <v>17</v>
      </c>
      <c r="B19" s="124"/>
      <c r="C19" s="3"/>
      <c r="D19" s="3"/>
      <c r="E19" s="3"/>
      <c r="F19" s="124"/>
      <c r="G19" s="124" t="s">
        <v>905</v>
      </c>
      <c r="H19" s="3"/>
      <c r="I19" s="124" t="s">
        <v>906</v>
      </c>
      <c r="J19" s="3" t="s">
        <v>8</v>
      </c>
      <c r="K19" s="3"/>
      <c r="L19" s="3"/>
      <c r="M19" s="3"/>
      <c r="N19" s="3"/>
      <c r="O19" s="16"/>
      <c r="P19" s="3"/>
      <c r="Q19" s="3"/>
      <c r="R19" s="3"/>
    </row>
    <row r="20" spans="1:18" ht="76.5" customHeight="1">
      <c r="A20" s="3">
        <v>18</v>
      </c>
      <c r="B20" s="124"/>
      <c r="C20" s="3"/>
      <c r="D20" s="3"/>
      <c r="E20" s="3"/>
      <c r="F20" s="124"/>
      <c r="G20" s="124" t="s">
        <v>907</v>
      </c>
      <c r="H20" s="3"/>
      <c r="I20" s="124" t="s">
        <v>908</v>
      </c>
      <c r="J20" s="3" t="s">
        <v>8</v>
      </c>
      <c r="K20" s="3"/>
      <c r="L20" s="3"/>
      <c r="M20" s="3"/>
      <c r="N20" s="3"/>
      <c r="O20" s="16"/>
      <c r="P20" s="3"/>
      <c r="Q20" s="3"/>
      <c r="R20" s="3"/>
    </row>
    <row r="21" spans="1:18" ht="76.5" customHeight="1">
      <c r="A21" s="3">
        <v>19</v>
      </c>
      <c r="B21" s="165" t="s">
        <v>909</v>
      </c>
      <c r="C21" s="3"/>
      <c r="D21" s="3"/>
      <c r="E21" s="3"/>
      <c r="F21" s="124"/>
      <c r="G21" s="124" t="s">
        <v>910</v>
      </c>
      <c r="H21" s="3"/>
      <c r="I21" s="124" t="s">
        <v>911</v>
      </c>
      <c r="J21" s="3" t="s">
        <v>8</v>
      </c>
      <c r="K21" s="3"/>
      <c r="L21" s="3"/>
      <c r="M21" s="3"/>
      <c r="N21" s="3"/>
      <c r="O21" s="16"/>
      <c r="P21" s="3"/>
      <c r="Q21" s="3"/>
      <c r="R21" s="3"/>
    </row>
    <row r="22" spans="1:18" ht="76.5" customHeight="1">
      <c r="A22" s="3">
        <v>20</v>
      </c>
      <c r="B22" s="167"/>
      <c r="C22" s="3"/>
      <c r="D22" s="3"/>
      <c r="E22" s="3"/>
      <c r="F22" s="124"/>
      <c r="G22" s="124" t="s">
        <v>912</v>
      </c>
      <c r="H22" s="3"/>
      <c r="I22" s="124" t="s">
        <v>913</v>
      </c>
      <c r="J22" s="3" t="s">
        <v>10</v>
      </c>
      <c r="K22" s="3"/>
      <c r="L22" s="3"/>
      <c r="M22" s="3"/>
      <c r="N22" s="3"/>
      <c r="O22" s="16"/>
      <c r="P22" s="3"/>
      <c r="Q22" s="3"/>
      <c r="R22" s="3"/>
    </row>
    <row r="23" spans="1:18" ht="76.5" customHeight="1">
      <c r="A23" s="3">
        <v>21</v>
      </c>
      <c r="B23" s="124" t="s">
        <v>914</v>
      </c>
      <c r="C23" s="3"/>
      <c r="D23" s="3"/>
      <c r="E23" s="3"/>
      <c r="F23" s="124" t="s">
        <v>915</v>
      </c>
      <c r="G23" s="124" t="s">
        <v>916</v>
      </c>
      <c r="H23" s="3"/>
      <c r="I23" s="124" t="s">
        <v>917</v>
      </c>
      <c r="J23" s="3" t="s">
        <v>8</v>
      </c>
      <c r="K23" s="76"/>
      <c r="L23" s="76" t="s">
        <v>918</v>
      </c>
      <c r="M23" s="3"/>
      <c r="N23" s="3"/>
      <c r="O23" s="16"/>
      <c r="P23" s="3"/>
      <c r="Q23" s="3"/>
      <c r="R23" s="3"/>
    </row>
    <row r="24" spans="1:18" ht="45.75">
      <c r="A24" s="3">
        <v>22</v>
      </c>
      <c r="B24" s="170" t="s">
        <v>919</v>
      </c>
      <c r="C24" s="3"/>
      <c r="D24" s="3"/>
      <c r="E24" s="3"/>
      <c r="F24" s="124" t="s">
        <v>920</v>
      </c>
      <c r="G24" s="124" t="s">
        <v>921</v>
      </c>
      <c r="H24" s="3"/>
      <c r="I24" s="124" t="s">
        <v>922</v>
      </c>
      <c r="J24" s="3" t="s">
        <v>8</v>
      </c>
      <c r="K24" s="3"/>
      <c r="L24" s="3"/>
      <c r="M24" s="3"/>
      <c r="N24" s="3"/>
      <c r="O24" s="3"/>
      <c r="P24" s="3"/>
      <c r="Q24" s="3"/>
      <c r="R24" s="77"/>
    </row>
    <row r="25" spans="1:18">
      <c r="A25" s="3">
        <v>23</v>
      </c>
      <c r="B25" s="171"/>
      <c r="C25" s="3"/>
      <c r="D25" s="3"/>
      <c r="E25" s="3"/>
      <c r="F25" s="128"/>
      <c r="G25" s="128" t="s">
        <v>923</v>
      </c>
      <c r="H25" s="3"/>
      <c r="I25" s="124" t="s">
        <v>924</v>
      </c>
      <c r="J25" s="3"/>
      <c r="K25" s="3"/>
      <c r="L25" s="3"/>
      <c r="M25" s="3"/>
      <c r="N25" s="3"/>
      <c r="O25" s="3"/>
      <c r="P25" s="3"/>
      <c r="Q25" s="3"/>
      <c r="R25" s="77"/>
    </row>
    <row r="26" spans="1:18" ht="30.75">
      <c r="A26" s="3">
        <v>24</v>
      </c>
      <c r="B26" s="3" t="s">
        <v>925</v>
      </c>
      <c r="C26" s="3"/>
      <c r="D26" s="3"/>
      <c r="E26" s="3"/>
      <c r="F26" s="3"/>
      <c r="G26" s="3" t="s">
        <v>926</v>
      </c>
      <c r="H26" s="3"/>
      <c r="I26" s="3" t="s">
        <v>927</v>
      </c>
      <c r="J26" s="3" t="s">
        <v>8</v>
      </c>
      <c r="K26" s="3"/>
      <c r="L26" s="77" t="s">
        <v>873</v>
      </c>
      <c r="M26" s="3"/>
      <c r="N26" s="3"/>
      <c r="O26" s="3"/>
      <c r="P26" s="3"/>
      <c r="Q26" s="3"/>
      <c r="R26" s="3"/>
    </row>
    <row r="27" spans="1:18">
      <c r="A27" s="3">
        <v>25</v>
      </c>
      <c r="B27" s="3"/>
      <c r="C27" s="3"/>
      <c r="D27" s="3"/>
      <c r="E27" s="3"/>
      <c r="F27" s="3"/>
      <c r="G27" s="3" t="s">
        <v>928</v>
      </c>
      <c r="H27" s="3"/>
      <c r="I27" s="3"/>
      <c r="J27" s="3" t="s">
        <v>8</v>
      </c>
      <c r="K27" s="3"/>
      <c r="L27" s="3"/>
      <c r="M27" s="3"/>
      <c r="N27" s="3"/>
      <c r="O27" s="16"/>
      <c r="P27" s="3"/>
      <c r="Q27" s="3"/>
      <c r="R27" s="3"/>
    </row>
    <row r="28" spans="1:18" ht="45.75">
      <c r="A28" s="3">
        <v>26</v>
      </c>
      <c r="B28" s="3"/>
      <c r="C28" s="3"/>
      <c r="D28" s="3"/>
      <c r="E28" s="3"/>
      <c r="F28" s="3"/>
      <c r="G28" s="3" t="s">
        <v>929</v>
      </c>
      <c r="H28" s="3"/>
      <c r="I28" s="3" t="s">
        <v>930</v>
      </c>
      <c r="J28" s="3" t="s">
        <v>8</v>
      </c>
      <c r="K28" s="76"/>
      <c r="L28" s="76" t="s">
        <v>918</v>
      </c>
      <c r="M28" s="3"/>
      <c r="N28" s="3"/>
      <c r="O28" s="16"/>
      <c r="P28" s="3"/>
      <c r="Q28" s="3"/>
      <c r="R28" s="3"/>
    </row>
    <row r="29" spans="1:18">
      <c r="A29" s="3">
        <v>27</v>
      </c>
      <c r="B29" s="3"/>
      <c r="C29" s="3"/>
      <c r="D29" s="3"/>
      <c r="E29" s="3"/>
      <c r="F29" s="3"/>
      <c r="G29" s="3" t="s">
        <v>931</v>
      </c>
      <c r="H29" s="3"/>
      <c r="I29" s="3" t="s">
        <v>932</v>
      </c>
      <c r="J29" s="3" t="s">
        <v>8</v>
      </c>
      <c r="K29" s="3"/>
      <c r="L29" s="3"/>
      <c r="M29" s="3"/>
      <c r="N29" s="3"/>
      <c r="O29" s="3"/>
      <c r="P29" s="3"/>
      <c r="Q29" s="3"/>
      <c r="R29" s="77"/>
    </row>
    <row r="30" spans="1:18" ht="45.75">
      <c r="A30" s="3">
        <v>28</v>
      </c>
      <c r="B30" s="3"/>
      <c r="C30" s="3"/>
      <c r="D30" s="3"/>
      <c r="E30" s="3"/>
      <c r="F30" s="3"/>
      <c r="G30" s="3" t="s">
        <v>933</v>
      </c>
      <c r="H30" s="3"/>
      <c r="I30" s="3" t="s">
        <v>934</v>
      </c>
      <c r="J30" s="3" t="s">
        <v>8</v>
      </c>
      <c r="K30" s="3"/>
      <c r="L30" s="3"/>
      <c r="M30" s="3"/>
      <c r="N30" s="3"/>
      <c r="O30" s="3"/>
      <c r="P30" s="3"/>
      <c r="Q30" s="3"/>
      <c r="R30" s="77"/>
    </row>
    <row r="31" spans="1:18" ht="30.75">
      <c r="A31" s="3">
        <v>29</v>
      </c>
      <c r="B31" s="3"/>
      <c r="C31" s="3"/>
      <c r="D31" s="3"/>
      <c r="E31" s="3"/>
      <c r="F31" s="3"/>
      <c r="G31" s="3" t="s">
        <v>935</v>
      </c>
      <c r="H31" s="3"/>
      <c r="I31" s="3" t="s">
        <v>936</v>
      </c>
      <c r="J31" s="3" t="s">
        <v>10</v>
      </c>
      <c r="K31" s="3"/>
      <c r="L31" s="3"/>
      <c r="M31" s="3"/>
      <c r="N31" s="3"/>
      <c r="O31" s="3"/>
      <c r="P31" s="3"/>
      <c r="Q31" s="42"/>
      <c r="R31" s="100"/>
    </row>
    <row r="32" spans="1:18" ht="137.25" customHeight="1">
      <c r="A32" s="3">
        <v>30</v>
      </c>
      <c r="B32" s="168" t="s">
        <v>937</v>
      </c>
      <c r="C32" s="3"/>
      <c r="D32" s="3"/>
      <c r="E32" s="3"/>
      <c r="F32" s="124" t="s">
        <v>938</v>
      </c>
      <c r="G32" s="124" t="s">
        <v>939</v>
      </c>
      <c r="H32" s="3"/>
      <c r="I32" s="124" t="s">
        <v>940</v>
      </c>
      <c r="J32" s="3" t="s">
        <v>8</v>
      </c>
      <c r="K32" s="3"/>
      <c r="L32" s="3"/>
      <c r="M32" s="3"/>
      <c r="N32" s="3"/>
      <c r="O32" s="3"/>
      <c r="P32" s="3"/>
      <c r="Q32" s="3"/>
      <c r="R32" s="77"/>
    </row>
    <row r="33" spans="1:18">
      <c r="A33" s="3">
        <v>31</v>
      </c>
      <c r="B33" s="168"/>
      <c r="C33" s="3"/>
      <c r="D33" s="3"/>
      <c r="E33" s="3"/>
      <c r="F33" s="124"/>
      <c r="G33" s="124" t="s">
        <v>941</v>
      </c>
      <c r="H33" s="3"/>
      <c r="I33" s="124" t="s">
        <v>942</v>
      </c>
      <c r="J33" s="3" t="s">
        <v>8</v>
      </c>
      <c r="K33" s="3"/>
      <c r="L33" s="3"/>
      <c r="M33" s="3"/>
      <c r="N33" s="3"/>
      <c r="O33" s="3"/>
      <c r="P33" s="3"/>
      <c r="Q33" s="3"/>
      <c r="R33" s="77"/>
    </row>
    <row r="34" spans="1:18">
      <c r="A34" s="3">
        <v>32</v>
      </c>
      <c r="B34" s="168"/>
      <c r="C34" s="3"/>
      <c r="D34" s="3"/>
      <c r="E34" s="3"/>
      <c r="F34" s="124"/>
      <c r="G34" s="124" t="s">
        <v>943</v>
      </c>
      <c r="H34" s="3"/>
      <c r="I34" s="124" t="s">
        <v>944</v>
      </c>
      <c r="J34" s="3" t="s">
        <v>8</v>
      </c>
      <c r="K34" s="3"/>
      <c r="L34" s="3"/>
      <c r="M34" s="3"/>
      <c r="N34" s="3"/>
      <c r="O34" s="3"/>
      <c r="P34" s="3"/>
      <c r="Q34" s="3"/>
      <c r="R34" s="77"/>
    </row>
    <row r="35" spans="1:18">
      <c r="A35" s="3">
        <v>33</v>
      </c>
      <c r="B35" s="168"/>
      <c r="C35" s="3"/>
      <c r="D35" s="3"/>
      <c r="E35" s="3"/>
      <c r="F35" s="124"/>
      <c r="G35" s="124" t="s">
        <v>945</v>
      </c>
      <c r="H35" s="3"/>
      <c r="I35" s="124" t="s">
        <v>946</v>
      </c>
      <c r="J35" s="3" t="s">
        <v>8</v>
      </c>
      <c r="K35" s="3"/>
      <c r="L35" s="3"/>
      <c r="M35" s="3"/>
      <c r="N35" s="3"/>
      <c r="O35" s="3"/>
      <c r="P35" s="3"/>
      <c r="Q35" s="3"/>
      <c r="R35" s="77"/>
    </row>
    <row r="36" spans="1:18" ht="229.5">
      <c r="A36" s="3">
        <v>34</v>
      </c>
      <c r="B36" s="169"/>
      <c r="C36" s="3"/>
      <c r="D36" s="3"/>
      <c r="E36" s="3"/>
      <c r="F36" s="124"/>
      <c r="G36" s="124" t="s">
        <v>947</v>
      </c>
      <c r="H36" s="3"/>
      <c r="I36" s="124" t="s">
        <v>948</v>
      </c>
      <c r="J36" s="3" t="s">
        <v>10</v>
      </c>
      <c r="K36" s="3"/>
      <c r="L36" s="3"/>
      <c r="M36" s="3"/>
      <c r="N36" s="3"/>
      <c r="O36" s="3"/>
      <c r="P36" s="3"/>
      <c r="Q36" s="3"/>
      <c r="R36" s="77"/>
    </row>
    <row r="37" spans="1:18" ht="30.75">
      <c r="A37" s="3">
        <v>35</v>
      </c>
      <c r="B37" s="124" t="s">
        <v>949</v>
      </c>
      <c r="C37" s="3"/>
      <c r="D37" s="3"/>
      <c r="E37" s="3"/>
      <c r="F37" s="124" t="s">
        <v>920</v>
      </c>
      <c r="G37" s="124" t="s">
        <v>950</v>
      </c>
      <c r="H37" s="3"/>
      <c r="I37" s="124" t="s">
        <v>951</v>
      </c>
      <c r="J37" s="3" t="s">
        <v>8</v>
      </c>
      <c r="K37" s="3"/>
      <c r="L37" s="3"/>
      <c r="M37" s="3"/>
      <c r="N37" s="3"/>
      <c r="O37" s="3"/>
      <c r="P37" s="3"/>
      <c r="Q37" s="42"/>
      <c r="R37" s="100"/>
    </row>
    <row r="38" spans="1:18">
      <c r="A38" s="3">
        <v>36</v>
      </c>
      <c r="B38" s="124"/>
      <c r="C38" s="3"/>
      <c r="D38" s="3"/>
      <c r="E38" s="3"/>
      <c r="F38" s="124"/>
      <c r="G38" s="124"/>
      <c r="H38" s="3"/>
      <c r="I38" s="124"/>
      <c r="J38" s="3" t="s">
        <v>8</v>
      </c>
      <c r="K38" s="3"/>
      <c r="L38" s="3"/>
      <c r="M38" s="3"/>
      <c r="N38" s="3"/>
      <c r="O38" s="3"/>
      <c r="P38" s="3"/>
      <c r="Q38" s="42"/>
      <c r="R38" s="100"/>
    </row>
    <row r="39" spans="1:18">
      <c r="A39" s="3">
        <v>37</v>
      </c>
      <c r="B39" s="124"/>
      <c r="C39" s="3"/>
      <c r="D39" s="3"/>
      <c r="E39" s="3"/>
      <c r="F39" s="124"/>
      <c r="G39" s="124"/>
      <c r="H39" s="3"/>
      <c r="I39" s="124"/>
      <c r="J39" s="3" t="s">
        <v>8</v>
      </c>
      <c r="K39" s="3"/>
      <c r="L39" s="3"/>
      <c r="M39" s="3"/>
      <c r="N39" s="3"/>
      <c r="O39" s="3"/>
      <c r="P39" s="3"/>
      <c r="Q39" s="42"/>
      <c r="R39" s="100"/>
    </row>
    <row r="40" spans="1:18" ht="30.75">
      <c r="A40" s="3">
        <v>38</v>
      </c>
      <c r="B40" s="124" t="s">
        <v>952</v>
      </c>
      <c r="C40" s="3"/>
      <c r="D40" s="3"/>
      <c r="E40" s="3"/>
      <c r="F40" s="124" t="s">
        <v>953</v>
      </c>
      <c r="G40" s="124" t="s">
        <v>954</v>
      </c>
      <c r="H40" s="3"/>
      <c r="I40" s="124" t="s">
        <v>955</v>
      </c>
      <c r="J40" s="3" t="s">
        <v>8</v>
      </c>
      <c r="K40" s="3"/>
      <c r="L40" s="3"/>
      <c r="M40" s="3"/>
      <c r="N40" s="3"/>
      <c r="O40" s="3"/>
      <c r="P40" s="3"/>
      <c r="Q40" s="42"/>
      <c r="R40" s="100"/>
    </row>
    <row r="41" spans="1:18" ht="45.75">
      <c r="A41" s="3">
        <v>39</v>
      </c>
      <c r="B41" s="124" t="s">
        <v>956</v>
      </c>
      <c r="C41" s="3"/>
      <c r="D41" s="3"/>
      <c r="E41" s="3"/>
      <c r="F41" s="124" t="s">
        <v>953</v>
      </c>
      <c r="G41" s="124" t="s">
        <v>957</v>
      </c>
      <c r="H41" s="3"/>
      <c r="I41" s="124" t="s">
        <v>958</v>
      </c>
      <c r="J41" s="3" t="s">
        <v>8</v>
      </c>
      <c r="K41" s="3"/>
      <c r="L41" s="3"/>
      <c r="M41" s="3"/>
      <c r="N41" s="3"/>
      <c r="O41" s="3"/>
      <c r="P41" s="3"/>
      <c r="Q41" s="3"/>
      <c r="R41" s="3"/>
    </row>
    <row r="42" spans="1:18" ht="45.75">
      <c r="A42" s="3">
        <v>40</v>
      </c>
      <c r="B42" s="124" t="s">
        <v>959</v>
      </c>
      <c r="C42" s="3"/>
      <c r="D42" s="3"/>
      <c r="E42" s="3"/>
      <c r="F42" s="124" t="s">
        <v>953</v>
      </c>
      <c r="G42" s="124" t="s">
        <v>960</v>
      </c>
      <c r="H42" s="3"/>
      <c r="I42" s="124"/>
      <c r="J42" s="3" t="s">
        <v>8</v>
      </c>
      <c r="K42" s="3"/>
      <c r="L42" s="3"/>
      <c r="M42" s="3"/>
      <c r="N42" s="3"/>
      <c r="O42" s="3"/>
      <c r="P42" s="3"/>
      <c r="Q42" s="3"/>
      <c r="R42" s="3"/>
    </row>
    <row r="43" spans="1:18" ht="30.75">
      <c r="A43" s="3">
        <v>41</v>
      </c>
      <c r="B43" s="124" t="s">
        <v>961</v>
      </c>
      <c r="C43" s="3"/>
      <c r="D43" s="3"/>
      <c r="E43" s="3"/>
      <c r="F43" s="124" t="s">
        <v>953</v>
      </c>
      <c r="G43" s="124" t="s">
        <v>962</v>
      </c>
      <c r="H43" s="3"/>
      <c r="I43" s="124" t="s">
        <v>963</v>
      </c>
      <c r="J43" s="3" t="s">
        <v>8</v>
      </c>
      <c r="K43" s="3"/>
      <c r="L43" s="3"/>
      <c r="M43" s="3"/>
      <c r="N43" s="3"/>
      <c r="O43" s="3"/>
      <c r="P43" s="3"/>
      <c r="Q43" s="3"/>
      <c r="R43" s="3"/>
    </row>
    <row r="44" spans="1:18" ht="30.75">
      <c r="A44" s="3">
        <v>42</v>
      </c>
      <c r="B44" s="124" t="s">
        <v>964</v>
      </c>
      <c r="C44" s="3"/>
      <c r="D44" s="3"/>
      <c r="E44" s="3"/>
      <c r="F44" s="124" t="s">
        <v>953</v>
      </c>
      <c r="G44" s="124" t="s">
        <v>965</v>
      </c>
      <c r="H44" s="3"/>
      <c r="I44" s="124" t="s">
        <v>966</v>
      </c>
      <c r="J44" s="3" t="s">
        <v>8</v>
      </c>
      <c r="K44" s="3"/>
      <c r="L44" s="3"/>
      <c r="M44" s="3"/>
      <c r="N44" s="3"/>
      <c r="O44" s="3"/>
      <c r="P44" s="3"/>
      <c r="Q44" s="3"/>
      <c r="R44" s="3"/>
    </row>
    <row r="45" spans="1:18" ht="30.75">
      <c r="A45" s="3">
        <v>43</v>
      </c>
      <c r="B45" s="124" t="s">
        <v>967</v>
      </c>
      <c r="C45" s="3"/>
      <c r="D45" s="3"/>
      <c r="E45" s="3"/>
      <c r="F45" s="124" t="s">
        <v>968</v>
      </c>
      <c r="G45" s="124" t="s">
        <v>969</v>
      </c>
      <c r="H45" s="3"/>
      <c r="I45" s="124" t="s">
        <v>970</v>
      </c>
      <c r="J45" s="3" t="s">
        <v>8</v>
      </c>
      <c r="K45" s="3"/>
      <c r="L45" s="3"/>
      <c r="M45" s="3"/>
      <c r="N45" s="3"/>
      <c r="O45" s="3"/>
      <c r="P45" s="3"/>
      <c r="Q45" s="3"/>
      <c r="R45" s="3"/>
    </row>
    <row r="46" spans="1:18" s="88" customFormat="1" ht="30.75">
      <c r="A46" s="3">
        <v>44</v>
      </c>
      <c r="B46" s="130" t="s">
        <v>971</v>
      </c>
      <c r="C46" s="129"/>
      <c r="D46" s="129"/>
      <c r="E46" s="129"/>
      <c r="F46" s="130" t="s">
        <v>972</v>
      </c>
      <c r="G46" s="130" t="s">
        <v>973</v>
      </c>
      <c r="H46" s="129"/>
      <c r="I46" s="130" t="s">
        <v>974</v>
      </c>
      <c r="J46" s="130" t="s">
        <v>2</v>
      </c>
      <c r="K46" s="129"/>
      <c r="L46" s="129"/>
      <c r="M46" s="129"/>
      <c r="N46" s="129"/>
      <c r="O46" s="129"/>
      <c r="P46" s="129"/>
      <c r="Q46" s="129"/>
      <c r="R46" s="129"/>
    </row>
    <row r="47" spans="1:18" ht="30.75">
      <c r="A47" s="3">
        <v>45</v>
      </c>
      <c r="B47" s="124" t="s">
        <v>975</v>
      </c>
      <c r="C47" s="3"/>
      <c r="D47" s="3"/>
      <c r="E47" s="3"/>
      <c r="F47" s="124" t="s">
        <v>976</v>
      </c>
      <c r="G47" s="124" t="s">
        <v>977</v>
      </c>
      <c r="H47" s="3"/>
      <c r="I47" s="124" t="s">
        <v>978</v>
      </c>
      <c r="J47" s="3" t="s">
        <v>8</v>
      </c>
      <c r="K47" s="3"/>
      <c r="L47" s="3"/>
      <c r="M47" s="3"/>
      <c r="N47" s="3"/>
      <c r="O47" s="3"/>
      <c r="P47" s="3"/>
      <c r="Q47" s="3"/>
      <c r="R47" s="3"/>
    </row>
    <row r="48" spans="1:18" ht="30.75">
      <c r="A48" s="3">
        <v>46</v>
      </c>
      <c r="B48" s="124" t="s">
        <v>979</v>
      </c>
      <c r="C48" s="3"/>
      <c r="D48" s="3"/>
      <c r="E48" s="3"/>
      <c r="F48" s="124" t="s">
        <v>980</v>
      </c>
      <c r="G48" s="124" t="s">
        <v>981</v>
      </c>
      <c r="H48" s="3"/>
      <c r="I48" s="124" t="s">
        <v>982</v>
      </c>
      <c r="J48" s="3" t="s">
        <v>8</v>
      </c>
      <c r="K48" s="3"/>
      <c r="L48" s="3"/>
      <c r="M48" s="3"/>
      <c r="N48" s="3"/>
      <c r="O48" s="3"/>
      <c r="P48" s="3"/>
      <c r="Q48" s="3"/>
      <c r="R48" s="3"/>
    </row>
    <row r="49" spans="1:18" ht="30.75">
      <c r="A49" s="3">
        <v>47</v>
      </c>
      <c r="B49" s="124" t="s">
        <v>983</v>
      </c>
      <c r="C49" s="3"/>
      <c r="D49" s="3"/>
      <c r="E49" s="3"/>
      <c r="F49" s="124" t="s">
        <v>984</v>
      </c>
      <c r="G49" s="124" t="s">
        <v>985</v>
      </c>
      <c r="H49" s="3"/>
      <c r="I49" s="124" t="s">
        <v>986</v>
      </c>
      <c r="J49" s="3" t="s">
        <v>8</v>
      </c>
      <c r="K49" s="3"/>
      <c r="L49" s="3"/>
      <c r="M49" s="3"/>
      <c r="N49" s="3"/>
      <c r="O49" s="3"/>
      <c r="P49" s="3"/>
      <c r="Q49" s="3"/>
      <c r="R49" s="3"/>
    </row>
    <row r="50" spans="1:18" ht="30.75">
      <c r="A50" s="3">
        <v>48</v>
      </c>
      <c r="B50" s="172" t="s">
        <v>987</v>
      </c>
      <c r="C50" s="3"/>
      <c r="D50" s="3"/>
      <c r="E50" s="3"/>
      <c r="F50" s="124"/>
      <c r="G50" s="124" t="s">
        <v>988</v>
      </c>
      <c r="H50" s="3"/>
      <c r="I50" s="124" t="s">
        <v>989</v>
      </c>
      <c r="J50" s="3" t="s">
        <v>8</v>
      </c>
      <c r="K50" s="3"/>
      <c r="L50" s="3"/>
      <c r="M50" s="3"/>
      <c r="N50" s="3"/>
      <c r="O50" s="3"/>
      <c r="P50" s="3"/>
      <c r="Q50" s="3"/>
      <c r="R50" s="3"/>
    </row>
    <row r="51" spans="1:18" ht="30.75">
      <c r="A51" s="3">
        <v>49</v>
      </c>
      <c r="B51" s="173"/>
      <c r="C51" s="3"/>
      <c r="D51" s="3"/>
      <c r="E51" s="3"/>
      <c r="F51" s="124"/>
      <c r="G51" s="124" t="s">
        <v>990</v>
      </c>
      <c r="H51" s="3"/>
      <c r="I51" s="124" t="s">
        <v>991</v>
      </c>
      <c r="J51" s="3" t="s">
        <v>8</v>
      </c>
      <c r="K51" s="3"/>
      <c r="L51" s="3"/>
      <c r="M51" s="3"/>
      <c r="N51" s="3"/>
      <c r="O51" s="3"/>
      <c r="P51" s="3"/>
      <c r="Q51" s="3"/>
      <c r="R51" s="3"/>
    </row>
    <row r="52" spans="1:18">
      <c r="A52" s="3">
        <v>50</v>
      </c>
      <c r="B52" s="131"/>
      <c r="C52" s="3"/>
      <c r="D52" s="3"/>
      <c r="E52" s="3"/>
      <c r="F52" s="124"/>
      <c r="G52" s="124"/>
      <c r="H52" s="3"/>
      <c r="I52" s="124"/>
      <c r="J52" s="3" t="s">
        <v>8</v>
      </c>
      <c r="K52" s="3"/>
      <c r="L52" s="3"/>
      <c r="M52" s="3"/>
      <c r="N52" s="3"/>
      <c r="O52" s="3"/>
      <c r="P52" s="3"/>
      <c r="Q52" s="3"/>
      <c r="R52" s="3"/>
    </row>
    <row r="53" spans="1:18" ht="30.75">
      <c r="A53" s="3">
        <v>51</v>
      </c>
      <c r="B53" s="124" t="s">
        <v>992</v>
      </c>
      <c r="C53" s="3"/>
      <c r="D53" s="3"/>
      <c r="E53" s="3"/>
      <c r="F53" s="124" t="s">
        <v>993</v>
      </c>
      <c r="G53" s="124" t="s">
        <v>994</v>
      </c>
      <c r="H53" s="3"/>
      <c r="I53" s="124" t="s">
        <v>995</v>
      </c>
      <c r="J53" s="3" t="s">
        <v>8</v>
      </c>
      <c r="K53" s="3"/>
      <c r="L53" s="3"/>
      <c r="M53" s="3"/>
      <c r="N53" s="3"/>
      <c r="O53" s="3"/>
      <c r="P53" s="3"/>
      <c r="Q53" s="3"/>
      <c r="R53" s="3"/>
    </row>
    <row r="54" spans="1:18" ht="30.75">
      <c r="A54" s="3">
        <v>52</v>
      </c>
      <c r="B54" s="124" t="s">
        <v>996</v>
      </c>
      <c r="C54" s="3"/>
      <c r="D54" s="3"/>
      <c r="E54" s="3"/>
      <c r="F54" s="124" t="s">
        <v>997</v>
      </c>
      <c r="G54" s="124" t="s">
        <v>998</v>
      </c>
      <c r="H54" s="3"/>
      <c r="I54" s="124" t="s">
        <v>999</v>
      </c>
      <c r="J54" s="3" t="s">
        <v>8</v>
      </c>
      <c r="K54" s="3"/>
      <c r="L54" s="3"/>
      <c r="M54" s="3"/>
      <c r="N54" s="3"/>
      <c r="O54" s="3"/>
      <c r="P54" s="3"/>
      <c r="Q54" s="3"/>
      <c r="R54" s="3"/>
    </row>
    <row r="55" spans="1:18" ht="30.75">
      <c r="A55" s="3">
        <v>53</v>
      </c>
      <c r="B55" s="124" t="s">
        <v>1000</v>
      </c>
      <c r="C55" s="3"/>
      <c r="D55" s="3"/>
      <c r="E55" s="3"/>
      <c r="F55" s="124" t="s">
        <v>1001</v>
      </c>
      <c r="G55" s="124" t="s">
        <v>1002</v>
      </c>
      <c r="H55" s="3"/>
      <c r="I55" s="124" t="s">
        <v>1003</v>
      </c>
      <c r="J55" s="3" t="s">
        <v>8</v>
      </c>
      <c r="K55" s="3"/>
      <c r="L55" s="3"/>
      <c r="M55" s="3"/>
      <c r="N55" s="3"/>
      <c r="O55" s="3"/>
      <c r="P55" s="3"/>
      <c r="Q55" s="3"/>
      <c r="R55" s="3"/>
    </row>
    <row r="56" spans="1:18" ht="30.75">
      <c r="A56" s="3">
        <v>54</v>
      </c>
      <c r="B56" s="124" t="s">
        <v>1004</v>
      </c>
      <c r="C56" s="3"/>
      <c r="D56" s="3"/>
      <c r="E56" s="3"/>
      <c r="F56" s="124" t="s">
        <v>1005</v>
      </c>
      <c r="G56" s="124" t="s">
        <v>1006</v>
      </c>
      <c r="H56" s="3"/>
      <c r="I56" s="124" t="s">
        <v>1007</v>
      </c>
      <c r="J56" s="3" t="s">
        <v>8</v>
      </c>
      <c r="K56" s="3"/>
      <c r="L56" s="3"/>
      <c r="M56" s="3"/>
      <c r="N56" s="3"/>
      <c r="O56" s="3"/>
      <c r="P56" s="3"/>
      <c r="Q56" s="3"/>
      <c r="R56" s="3"/>
    </row>
    <row r="57" spans="1:18" ht="30.75">
      <c r="A57" s="3">
        <v>55</v>
      </c>
      <c r="B57" s="124" t="s">
        <v>1008</v>
      </c>
      <c r="C57" s="3"/>
      <c r="D57" s="3"/>
      <c r="E57" s="3"/>
      <c r="F57" s="124" t="s">
        <v>1009</v>
      </c>
      <c r="G57" s="124" t="s">
        <v>1010</v>
      </c>
      <c r="H57" s="3"/>
      <c r="I57" s="124" t="s">
        <v>1011</v>
      </c>
      <c r="J57" s="3" t="s">
        <v>8</v>
      </c>
      <c r="K57" s="3"/>
      <c r="L57" s="3"/>
      <c r="M57" s="3"/>
      <c r="N57" s="3"/>
      <c r="O57" s="3"/>
      <c r="P57" s="3"/>
      <c r="Q57" s="3"/>
      <c r="R57" s="3"/>
    </row>
    <row r="58" spans="1:18" ht="30.75">
      <c r="A58" s="3">
        <v>56</v>
      </c>
      <c r="B58" s="124" t="s">
        <v>1012</v>
      </c>
      <c r="C58" s="42"/>
      <c r="D58" s="3"/>
      <c r="E58" s="3"/>
      <c r="F58" s="124" t="s">
        <v>1013</v>
      </c>
      <c r="G58" s="124" t="s">
        <v>1014</v>
      </c>
      <c r="H58" s="3"/>
      <c r="I58" s="124" t="s">
        <v>1015</v>
      </c>
      <c r="J58" s="3" t="s">
        <v>8</v>
      </c>
      <c r="K58" s="3"/>
      <c r="L58" s="3"/>
      <c r="M58" s="3"/>
      <c r="N58" s="3"/>
      <c r="O58" s="3"/>
      <c r="P58" s="3"/>
      <c r="Q58" s="3"/>
      <c r="R58" s="3"/>
    </row>
    <row r="59" spans="1:18">
      <c r="A59" s="3">
        <v>57</v>
      </c>
      <c r="B59" s="124" t="s">
        <v>1016</v>
      </c>
      <c r="C59" s="3"/>
      <c r="D59" s="3"/>
      <c r="E59" s="3"/>
      <c r="F59" s="124" t="s">
        <v>1017</v>
      </c>
      <c r="G59" s="124" t="s">
        <v>1018</v>
      </c>
      <c r="H59" s="3"/>
      <c r="I59" s="124" t="s">
        <v>1019</v>
      </c>
      <c r="J59" s="3" t="s">
        <v>8</v>
      </c>
      <c r="K59" s="3"/>
      <c r="L59" s="3"/>
      <c r="M59" s="3"/>
      <c r="N59" s="3"/>
      <c r="O59" s="3"/>
      <c r="P59" s="3"/>
      <c r="Q59" s="3"/>
      <c r="R59" s="3"/>
    </row>
    <row r="60" spans="1:18" ht="30.75">
      <c r="A60" s="3">
        <v>58</v>
      </c>
      <c r="B60" s="124" t="s">
        <v>1020</v>
      </c>
      <c r="C60" s="3"/>
      <c r="D60" s="3"/>
      <c r="E60" s="3"/>
      <c r="F60" s="124" t="s">
        <v>1021</v>
      </c>
      <c r="G60" s="124" t="s">
        <v>1022</v>
      </c>
      <c r="H60" s="3"/>
      <c r="I60" s="124" t="s">
        <v>1023</v>
      </c>
      <c r="J60" s="3" t="s">
        <v>8</v>
      </c>
      <c r="K60" s="3"/>
      <c r="L60" s="3"/>
      <c r="M60" s="3"/>
      <c r="N60" s="3"/>
      <c r="O60" s="3"/>
      <c r="P60" s="3"/>
      <c r="Q60" s="3"/>
      <c r="R60" s="3"/>
    </row>
    <row r="61" spans="1:18" ht="30.75">
      <c r="A61" s="3">
        <v>59</v>
      </c>
      <c r="B61" s="124" t="s">
        <v>1024</v>
      </c>
      <c r="C61" s="3"/>
      <c r="D61" s="3"/>
      <c r="E61" s="3"/>
      <c r="F61" s="124" t="s">
        <v>1025</v>
      </c>
      <c r="G61" s="124" t="s">
        <v>1026</v>
      </c>
      <c r="H61" s="3"/>
      <c r="I61" s="124" t="s">
        <v>1027</v>
      </c>
      <c r="J61" s="3" t="s">
        <v>8</v>
      </c>
      <c r="K61" s="3"/>
      <c r="L61" s="3"/>
      <c r="M61" s="3"/>
      <c r="N61" s="3"/>
      <c r="O61" s="16"/>
      <c r="P61" s="3"/>
      <c r="Q61" s="3"/>
      <c r="R61" s="3"/>
    </row>
    <row r="62" spans="1:18" ht="45.75">
      <c r="A62" s="3">
        <v>60</v>
      </c>
      <c r="B62" s="124" t="s">
        <v>1028</v>
      </c>
      <c r="C62" s="3"/>
      <c r="D62" s="3"/>
      <c r="E62" s="3"/>
      <c r="F62" s="124" t="s">
        <v>1029</v>
      </c>
      <c r="G62" s="124" t="s">
        <v>1030</v>
      </c>
      <c r="H62" s="3"/>
      <c r="I62" s="124" t="s">
        <v>1031</v>
      </c>
      <c r="J62" s="3" t="s">
        <v>8</v>
      </c>
      <c r="K62" s="3"/>
      <c r="L62" s="3"/>
      <c r="M62" s="3"/>
      <c r="N62" s="3"/>
      <c r="O62" s="16"/>
      <c r="P62" s="3"/>
      <c r="Q62" s="3"/>
      <c r="R62" s="3"/>
    </row>
    <row r="63" spans="1:18" ht="60.75" customHeight="1">
      <c r="A63" s="3">
        <v>61</v>
      </c>
      <c r="B63" s="163" t="s">
        <v>1032</v>
      </c>
      <c r="C63" s="3"/>
      <c r="D63" s="3"/>
      <c r="E63" s="3"/>
      <c r="F63" s="3"/>
      <c r="G63" s="3" t="s">
        <v>1033</v>
      </c>
      <c r="H63" s="3"/>
      <c r="I63" s="3"/>
      <c r="J63" s="3" t="s">
        <v>8</v>
      </c>
      <c r="K63" s="3"/>
      <c r="L63" s="3"/>
      <c r="M63" s="3"/>
      <c r="N63" s="3"/>
      <c r="O63" s="16"/>
      <c r="P63" s="3"/>
      <c r="Q63" s="3"/>
      <c r="R63" s="3"/>
    </row>
    <row r="64" spans="1:18" ht="32.25" customHeight="1">
      <c r="A64" s="3"/>
      <c r="B64" s="164"/>
      <c r="C64" s="3"/>
      <c r="D64" s="3"/>
      <c r="E64" s="3"/>
      <c r="F64" s="3"/>
      <c r="G64" s="3" t="s">
        <v>1034</v>
      </c>
      <c r="H64" s="3"/>
      <c r="I64" s="3" t="s">
        <v>1035</v>
      </c>
      <c r="J64" s="3" t="s">
        <v>8</v>
      </c>
      <c r="K64" s="3"/>
      <c r="L64" s="3"/>
      <c r="M64" s="3"/>
      <c r="N64" s="3"/>
      <c r="O64" s="16"/>
      <c r="P64" s="3"/>
      <c r="Q64" s="3"/>
      <c r="R64" s="3"/>
    </row>
    <row r="65" spans="1:18">
      <c r="A65" s="3"/>
      <c r="B65" s="3"/>
      <c r="C65" s="3"/>
      <c r="D65" s="3"/>
      <c r="E65" s="3"/>
      <c r="F65" s="3"/>
      <c r="G65" s="3"/>
      <c r="H65" s="3"/>
      <c r="I65" s="3"/>
      <c r="J65" s="3"/>
      <c r="K65" s="3"/>
      <c r="L65" s="3"/>
      <c r="M65" s="3"/>
      <c r="N65" s="3"/>
      <c r="O65" s="16"/>
      <c r="P65" s="3"/>
      <c r="Q65" s="3"/>
      <c r="R65" s="3"/>
    </row>
    <row r="66" spans="1:18">
      <c r="A66" s="3"/>
      <c r="B66" s="3"/>
      <c r="C66" s="3"/>
      <c r="D66" s="3"/>
      <c r="E66" s="3"/>
      <c r="F66" s="3"/>
      <c r="G66" s="3"/>
      <c r="H66" s="3"/>
      <c r="I66" s="3"/>
      <c r="J66" s="3"/>
      <c r="K66" s="3"/>
      <c r="L66" s="3"/>
      <c r="M66" s="3"/>
      <c r="N66" s="3"/>
      <c r="O66" s="16"/>
      <c r="P66" s="3"/>
      <c r="Q66" s="3"/>
      <c r="R66" s="3"/>
    </row>
    <row r="67" spans="1:18">
      <c r="A67" s="3"/>
      <c r="B67" s="3"/>
      <c r="C67" s="3"/>
      <c r="D67" s="3"/>
      <c r="E67" s="3"/>
      <c r="F67" s="3"/>
      <c r="G67" s="3"/>
      <c r="H67" s="3"/>
      <c r="I67" s="3"/>
      <c r="J67" s="3"/>
      <c r="K67" s="3"/>
      <c r="L67" s="3"/>
      <c r="M67" s="3"/>
      <c r="N67" s="3"/>
      <c r="O67" s="16"/>
      <c r="P67" s="3"/>
      <c r="Q67" s="3"/>
      <c r="R67" s="3"/>
    </row>
    <row r="68" spans="1:18">
      <c r="A68" s="3"/>
      <c r="B68" s="3"/>
      <c r="C68" s="3"/>
      <c r="D68" s="3"/>
      <c r="E68" s="3"/>
      <c r="F68" s="3"/>
      <c r="G68" s="3"/>
      <c r="H68" s="3"/>
      <c r="I68" s="3"/>
      <c r="J68" s="3"/>
      <c r="K68" s="3"/>
      <c r="L68" s="3"/>
      <c r="M68" s="3"/>
      <c r="N68" s="3"/>
      <c r="O68" s="16"/>
      <c r="P68" s="3"/>
      <c r="Q68" s="3"/>
      <c r="R68" s="3"/>
    </row>
    <row r="69" spans="1:18">
      <c r="A69" s="3"/>
      <c r="B69" s="3"/>
      <c r="C69" s="3"/>
      <c r="D69" s="3"/>
      <c r="E69" s="3"/>
      <c r="F69" s="3"/>
      <c r="G69" s="3"/>
      <c r="H69" s="3"/>
      <c r="I69" s="3"/>
      <c r="J69" s="3"/>
      <c r="K69" s="3"/>
      <c r="L69" s="3"/>
      <c r="M69" s="3"/>
      <c r="N69" s="3"/>
      <c r="O69" s="16"/>
      <c r="P69" s="3"/>
      <c r="Q69" s="3"/>
      <c r="R69" s="3"/>
    </row>
    <row r="70" spans="1:18">
      <c r="A70" s="3"/>
      <c r="B70" s="3"/>
      <c r="C70" s="3"/>
      <c r="D70" s="3"/>
      <c r="E70" s="3"/>
      <c r="F70" s="3"/>
      <c r="G70" s="3"/>
      <c r="H70" s="3"/>
      <c r="I70" s="3"/>
      <c r="J70" s="3"/>
      <c r="K70" s="3"/>
      <c r="L70" s="3"/>
      <c r="M70" s="3"/>
      <c r="N70" s="3"/>
      <c r="O70" s="16"/>
      <c r="P70" s="3"/>
      <c r="Q70" s="3"/>
      <c r="R70" s="3"/>
    </row>
    <row r="71" spans="1:18">
      <c r="A71" s="3"/>
      <c r="B71" s="3"/>
      <c r="C71" s="3"/>
      <c r="D71" s="3"/>
      <c r="E71" s="3"/>
      <c r="F71" s="3"/>
      <c r="G71" s="3"/>
      <c r="H71" s="3"/>
      <c r="I71" s="3"/>
      <c r="J71" s="3"/>
      <c r="K71" s="3"/>
      <c r="L71" s="3"/>
      <c r="M71" s="3"/>
      <c r="N71" s="3"/>
      <c r="O71" s="16"/>
      <c r="P71" s="3"/>
      <c r="Q71" s="3"/>
      <c r="R71" s="3"/>
    </row>
    <row r="72" spans="1:18">
      <c r="A72" s="3"/>
      <c r="B72" s="3"/>
      <c r="C72" s="3"/>
      <c r="D72" s="3"/>
      <c r="E72" s="3"/>
      <c r="F72" s="3"/>
      <c r="G72" s="3"/>
      <c r="H72" s="3"/>
      <c r="I72" s="3"/>
      <c r="J72" s="3"/>
      <c r="K72" s="3"/>
      <c r="L72" s="3"/>
      <c r="M72" s="3"/>
      <c r="N72" s="3"/>
      <c r="O72" s="16"/>
      <c r="P72" s="3"/>
      <c r="Q72" s="3"/>
      <c r="R72" s="3"/>
    </row>
    <row r="73" spans="1:18">
      <c r="A73" s="3"/>
      <c r="B73" s="3"/>
      <c r="C73" s="3"/>
      <c r="D73" s="3"/>
      <c r="E73" s="3"/>
      <c r="F73" s="3"/>
      <c r="G73" s="3"/>
      <c r="H73" s="3"/>
      <c r="I73" s="3"/>
      <c r="J73" s="3"/>
      <c r="K73" s="3"/>
      <c r="L73" s="3"/>
      <c r="M73" s="3"/>
      <c r="N73" s="3"/>
      <c r="O73" s="16"/>
      <c r="P73" s="3"/>
      <c r="Q73" s="3"/>
      <c r="R73" s="3"/>
    </row>
    <row r="74" spans="1:18">
      <c r="A74" s="3"/>
      <c r="B74" s="3"/>
      <c r="C74" s="3"/>
      <c r="D74" s="3"/>
      <c r="E74" s="3"/>
      <c r="F74" s="3"/>
      <c r="G74" s="3"/>
      <c r="H74" s="3"/>
      <c r="I74" s="16"/>
      <c r="J74" s="3"/>
      <c r="K74" s="3"/>
      <c r="L74" s="3"/>
      <c r="M74" s="3"/>
      <c r="N74" s="3"/>
      <c r="O74" s="3"/>
      <c r="P74" s="3"/>
      <c r="Q74" s="3"/>
      <c r="R74" s="3"/>
    </row>
  </sheetData>
  <autoFilter ref="J1:J74" xr:uid="{3D6AD08A-E247-45F3-ACCA-97432730C685}"/>
  <mergeCells count="6">
    <mergeCell ref="B63:B64"/>
    <mergeCell ref="B3:B5"/>
    <mergeCell ref="B32:B36"/>
    <mergeCell ref="B24:B25"/>
    <mergeCell ref="B21:B22"/>
    <mergeCell ref="B50:B51"/>
  </mergeCells>
  <conditionalFormatting sqref="J3:J45 J47:J64">
    <cfRule type="colorScale" priority="9">
      <colorScale>
        <cfvo type="min"/>
        <cfvo type="percentile" val="50"/>
        <cfvo type="max"/>
        <color rgb="FFF8696B"/>
        <color rgb="FFFFEB84"/>
        <color rgb="FF63BE7B"/>
      </colorScale>
    </cfRule>
  </conditionalFormatting>
  <dataValidations count="1">
    <dataValidation type="list" allowBlank="1" showInputMessage="1" showErrorMessage="1" sqref="J3:J64" xr:uid="{D2B65660-5B9C-4964-80AC-B117BDDC24B4}">
      <formula1>"In Design, Ready, Reviewed Completed, Pass, Fail, Blocked, No Run"</formula1>
    </dataValidation>
  </dataValidations>
  <hyperlinks>
    <hyperlink ref="L3" r:id="rId1" xr:uid="{E7CAFDD9-29B4-43D1-AAC6-4F2CE3E4E1CE}"/>
    <hyperlink ref="L23" r:id="rId2" xr:uid="{99781F68-F0E9-4B19-AA5F-95D56395DE6E}"/>
    <hyperlink ref="L26" r:id="rId3" xr:uid="{9961E12C-2CE9-4FCB-99D2-535EE5D6030A}"/>
    <hyperlink ref="L28" r:id="rId4" xr:uid="{2C0F2A5B-E3A6-4A82-B000-D033E1E6B71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0"/>
  <sheetViews>
    <sheetView topLeftCell="I1" workbookViewId="0">
      <selection activeCell="B3" sqref="B3:I17"/>
    </sheetView>
  </sheetViews>
  <sheetFormatPr defaultRowHeight="15"/>
  <cols>
    <col min="2" max="2" width="29.42578125" customWidth="1"/>
    <col min="3" max="4" width="12.7109375" customWidth="1"/>
    <col min="5" max="5" width="11.28515625" customWidth="1"/>
    <col min="6" max="6" width="12.42578125" customWidth="1"/>
    <col min="7" max="7" width="11" customWidth="1"/>
    <col min="8" max="9" width="10.5703125" customWidth="1"/>
    <col min="10" max="10" width="11.5703125" customWidth="1"/>
    <col min="11" max="11" width="13.140625" customWidth="1"/>
    <col min="12" max="12" width="14.5703125" customWidth="1"/>
    <col min="13" max="13" width="16.140625" customWidth="1"/>
  </cols>
  <sheetData>
    <row r="1" spans="1:13">
      <c r="A1" s="72" t="s">
        <v>1036</v>
      </c>
      <c r="B1" s="72" t="s">
        <v>1037</v>
      </c>
    </row>
    <row r="2" spans="1:13">
      <c r="C2" s="174" t="s">
        <v>1038</v>
      </c>
      <c r="D2" s="181"/>
      <c r="E2" s="181"/>
      <c r="F2" s="181"/>
      <c r="G2" s="181"/>
      <c r="H2" s="181"/>
      <c r="I2" s="30"/>
    </row>
    <row r="3" spans="1:13">
      <c r="B3" s="18" t="s">
        <v>1039</v>
      </c>
      <c r="C3" s="18" t="s">
        <v>1040</v>
      </c>
      <c r="D3" s="18" t="s">
        <v>1041</v>
      </c>
      <c r="E3" s="18" t="s">
        <v>1042</v>
      </c>
      <c r="F3" s="18" t="s">
        <v>1043</v>
      </c>
      <c r="G3" s="18" t="s">
        <v>1044</v>
      </c>
      <c r="H3" s="18" t="s">
        <v>1045</v>
      </c>
      <c r="I3" s="18" t="s">
        <v>1046</v>
      </c>
      <c r="J3" s="19" t="s">
        <v>1047</v>
      </c>
      <c r="K3" s="19" t="s">
        <v>1048</v>
      </c>
      <c r="L3" s="19" t="s">
        <v>1049</v>
      </c>
      <c r="M3" s="19" t="s">
        <v>1050</v>
      </c>
    </row>
    <row r="4" spans="1:13" ht="18.75" customHeight="1">
      <c r="B4" s="38" t="s">
        <v>342</v>
      </c>
      <c r="C4" s="20">
        <f>COUNT(Budget!$A$3:$A$1048576)</f>
        <v>146</v>
      </c>
      <c r="D4" s="20">
        <f>COUNTIF(Budget!$J$3:$J$1048576,"In Design")+COUNTIF(Budget!$J$3:$J$1048576,"In design")</f>
        <v>20</v>
      </c>
      <c r="E4" s="20">
        <f>COUNTIF(Budget!$J$3:$J$1048576,"Reviewed")+COUNTIF(Budget!$J$3:$J$1048576,"Reviewed Completed")</f>
        <v>142</v>
      </c>
      <c r="F4" s="20">
        <v>100</v>
      </c>
      <c r="G4" s="20">
        <f>COUNTIF(Budget!$J$3:$J$1048576,"Fail")+COUNTIF(Budget!$J$3:$J$1048576,"Failed")</f>
        <v>0</v>
      </c>
      <c r="H4" s="20">
        <f>COUNTIF(Budget!$J$3:$J$1048576,"Blocked")</f>
        <v>0</v>
      </c>
      <c r="I4" s="20">
        <f>COUNTIF(Budget!$J$3:$J$1048576,"No Run")+COUNTIF(Budget!$J$3:$J$1048576,"No run")</f>
        <v>0</v>
      </c>
      <c r="J4" s="28">
        <f>IF($C4=0,0,$H4/$C4)</f>
        <v>0</v>
      </c>
      <c r="K4" s="28">
        <f>IF($C4=0,0,$G4/$C4)</f>
        <v>0</v>
      </c>
      <c r="L4" s="28">
        <f>IF($C4=0,0,$F4/$C4)</f>
        <v>0.68493150684931503</v>
      </c>
      <c r="M4" s="28">
        <f>IF($C4=0,0,$I4/$C4)</f>
        <v>0</v>
      </c>
    </row>
    <row r="5" spans="1:13" ht="18.75" customHeight="1">
      <c r="B5" s="39" t="s">
        <v>1051</v>
      </c>
      <c r="C5" s="20">
        <f>COUNT('Seats &amp; Capacity'!$A$3:$A$1048576)</f>
        <v>31</v>
      </c>
      <c r="D5" s="20">
        <f>COUNTIF('Seats &amp; Capacity'!$I$3:$I$1048576,"In Design")+COUNTIF('Seats &amp; Capacity'!$I$3:$I$1048576,"In design")</f>
        <v>0</v>
      </c>
      <c r="E5" s="20">
        <f>COUNTIF('Seats &amp; Capacity'!$I$3:$I$1048576,"Reviewed")+COUNTIF('Seats &amp; Capacity'!$I$3:$I$1048576,"Reviewed Completed")</f>
        <v>0</v>
      </c>
      <c r="F5" s="20">
        <f>COUNTIF('Seats &amp; Capacity'!$I$3:$I$1048576,"Pass")+COUNTIF('Seats &amp; Capacity'!$I$3:$I$1048576,"Passed")</f>
        <v>27</v>
      </c>
      <c r="G5" s="20">
        <f>COUNTIF('Seats &amp; Capacity'!$I$3:$I$1048576,"Fail")+COUNTIF('Seats &amp; Capacity'!$I$3:$I$1048576,"Failed")</f>
        <v>4</v>
      </c>
      <c r="H5" s="20">
        <f>COUNTIF('Seats &amp; Capacity'!$I$3:$I$1048576,"Blocked")</f>
        <v>0</v>
      </c>
      <c r="I5" s="20">
        <f>COUNTIF('Seats &amp; Capacity'!$I$3:$I$1048576,"No Run")+COUNTIF('Seats &amp; Capacity'!$I$3:$I$1048576,"No run")</f>
        <v>0</v>
      </c>
      <c r="J5" s="28">
        <f>IF($C5=0,0,$H5/$C5)</f>
        <v>0</v>
      </c>
      <c r="K5" s="28">
        <f>IF($C5=0,0,$G5/$C5)</f>
        <v>0.12903225806451613</v>
      </c>
      <c r="L5" s="28">
        <f>IF($C5=0,0,$F5/$C5)</f>
        <v>0.87096774193548387</v>
      </c>
      <c r="M5" s="28">
        <f>IF($C5=0,0,$I5/$C5)</f>
        <v>0</v>
      </c>
    </row>
    <row r="6" spans="1:13" ht="18.75" customHeight="1">
      <c r="B6" s="29" t="s">
        <v>1052</v>
      </c>
      <c r="C6" s="20">
        <f>COUNT(Screening!$A$4:$A$1048576)</f>
        <v>29</v>
      </c>
      <c r="D6" s="20">
        <f>COUNTIF(Screening!$I$4:$I$1048576,"In Design")+COUNTIF(Screening!$I$4:$I$1048576,"In design")</f>
        <v>0</v>
      </c>
      <c r="E6" s="20">
        <f>COUNTIF(Screening!$I$4:$I$1048576,"Reviewed")+COUNTIF(Screening!$I$4:$I$1048576,"Reviewed Completed")</f>
        <v>0</v>
      </c>
      <c r="F6" s="20">
        <f>COUNTIF(Screening!$I$4:$I$1048576,"Pass")+COUNTIF(Screening!$I$4:$I$1048576,"Passed")</f>
        <v>26</v>
      </c>
      <c r="G6" s="20">
        <f>COUNTIF(Screening!$I$4:$I$1048576,"Fail")+COUNTIF(Screening!$I$4:$I$1048576,"Failed")</f>
        <v>1</v>
      </c>
      <c r="H6" s="20">
        <f>COUNTIF(Screening!$I$4:$I$1048576,"Blocked")</f>
        <v>1</v>
      </c>
      <c r="I6" s="20">
        <f>COUNTIF(Screening!$I$4:$I$1048576,"No Run")+COUNTIF(Screening!$I$4:$I$1048576,"No run")</f>
        <v>0</v>
      </c>
      <c r="J6" s="28">
        <f>IF($C6=0,0,$H6/$C6)</f>
        <v>3.4482758620689655E-2</v>
      </c>
      <c r="K6" s="28">
        <f>IF($C6=0,0,$G6/$C6)</f>
        <v>3.4482758620689655E-2</v>
      </c>
      <c r="L6" s="28">
        <f>IF($C6=0,0,$F6/$C6)</f>
        <v>0.89655172413793105</v>
      </c>
      <c r="M6" s="28">
        <f>IF($C6=0,0,$I6/$C6)</f>
        <v>0</v>
      </c>
    </row>
    <row r="7" spans="1:13" ht="18.75" customHeight="1">
      <c r="B7" s="29" t="s">
        <v>1053</v>
      </c>
      <c r="C7" s="20">
        <f>COUNT(Enrollment!$A$3:$A$1048576)</f>
        <v>47</v>
      </c>
      <c r="D7" s="20">
        <f>COUNTIF(Enrollment!$I$3:$I$1048576,"In Design")+COUNTIF(Enrollment!$I$3:$I$1048576,"In design")</f>
        <v>0</v>
      </c>
      <c r="E7" s="20">
        <f>COUNTIF(Enrollment!$I$3:$I$1048576,"Reviewed")+COUNTIF(Enrollment!$I$3:$I$1048576,"Reviewed Completed")</f>
        <v>0</v>
      </c>
      <c r="F7" s="20">
        <f>COUNTIF(Enrollment!$I$3:$I$1048576,"Pass")+COUNTIF(Enrollment!$I$3:$I$1048576,"Passed")</f>
        <v>41</v>
      </c>
      <c r="G7" s="20">
        <f>COUNTIF(Enrollment!$I$3:$I$1048576,"Fail")+COUNTIF(Enrollment!$I$3:$I$1048576,"Failed")</f>
        <v>6</v>
      </c>
      <c r="H7" s="20">
        <f>COUNTIF(Enrollment!$I$3:$I$1048576,"Blocked")</f>
        <v>0</v>
      </c>
      <c r="I7" s="20">
        <f>COUNTIF(Enrollment!$I$3:$I$1048576,"No Run")+COUNTIF(Enrollment!$I$3:$I$1048576,"No run")</f>
        <v>2</v>
      </c>
      <c r="J7" s="28">
        <f>IF($C7=0,0,$H7/$C7)</f>
        <v>0</v>
      </c>
      <c r="K7" s="28">
        <f>IF($C7=0,0,$G7/$C7)</f>
        <v>0.1276595744680851</v>
      </c>
      <c r="L7" s="28">
        <f>IF($C7=0,0,$F7/$C7)</f>
        <v>0.87234042553191493</v>
      </c>
      <c r="M7" s="28">
        <f>IF($C7=0,0,$I7/$C7)</f>
        <v>4.2553191489361701E-2</v>
      </c>
    </row>
    <row r="8" spans="1:13" ht="18.75" customHeight="1">
      <c r="B8" s="39" t="s">
        <v>133</v>
      </c>
      <c r="C8" s="20">
        <f>COUNT(Attendance!$A$3:$A$1048576)</f>
        <v>95</v>
      </c>
      <c r="D8" s="20">
        <f>COUNTIF(Attendance!$K$3:$K$1048576,"In Design")+COUNTIF(Attendance!$K$3:$K$1048576,"In design")</f>
        <v>38</v>
      </c>
      <c r="E8" s="20">
        <f>COUNTIF(Attendance!$K$3:$K$1048576,"Reviewed")+COUNTIF(Attendance!$K$3:$K$1048576,"Reviewed Completed")</f>
        <v>0</v>
      </c>
      <c r="F8" s="20">
        <v>80</v>
      </c>
      <c r="G8" s="20">
        <f>COUNTIF(Attendance!$K$3:$K$1048576,"Fail")+COUNTIF(Attendance!$K$3:$K$1048576,"Failed")</f>
        <v>4</v>
      </c>
      <c r="H8" s="20">
        <f>COUNTIF(Attendance!$K$3:$K$1048576,"Blocked")</f>
        <v>0</v>
      </c>
      <c r="I8" s="20">
        <f>COUNTIF(Attendance!$K$3:$K$1048576,"No Run")+COUNTIF(Attendance!$K$3:$K$1048576,"No run")</f>
        <v>0</v>
      </c>
      <c r="J8" s="28">
        <f>IF($C8=0,0,$H8/$C8)</f>
        <v>0</v>
      </c>
      <c r="K8" s="28">
        <f>IF($C8=0,0,$G8/$C8)</f>
        <v>4.2105263157894736E-2</v>
      </c>
      <c r="L8" s="28">
        <f>IF($C8=0,0,$F8/$C8)</f>
        <v>0.84210526315789469</v>
      </c>
      <c r="M8" s="28">
        <f>IF($C8=0,0,$I8/$C8)</f>
        <v>0</v>
      </c>
    </row>
    <row r="9" spans="1:13" ht="18.75" customHeight="1">
      <c r="B9" s="38" t="s">
        <v>1054</v>
      </c>
      <c r="C9" s="20">
        <v>56</v>
      </c>
      <c r="D9" s="20">
        <f>COUNTIF(Incident!$K$4:$K$1048576,"In Design")+COUNTIF(Incident!$K$4:$K$1048576,"In design")</f>
        <v>56</v>
      </c>
      <c r="E9" s="20">
        <f>COUNTIF(Incident!$K$4:$K$1048576,"Reviewed")+COUNTIF(Incident!$K$4:$K$1048576,"Reviewed Completed")</f>
        <v>0</v>
      </c>
      <c r="F9" s="20">
        <v>50</v>
      </c>
      <c r="G9" s="20">
        <v>5</v>
      </c>
      <c r="H9" s="20">
        <f>COUNTIF(Incident!$K$4:$K$1048576,"Blocked")</f>
        <v>0</v>
      </c>
      <c r="I9" s="20">
        <f>COUNTIF(Incident!$K$4:$K$1048576,"No Run")+COUNTIF(Incident!$K$4:$K$1048576,"No run")</f>
        <v>0</v>
      </c>
      <c r="J9" s="28">
        <f>IF($C9=0,0,$H9/$C9)</f>
        <v>0</v>
      </c>
      <c r="K9" s="28">
        <f>IF($C9=0,0,$G9/$C9)</f>
        <v>8.9285714285714288E-2</v>
      </c>
      <c r="L9" s="28">
        <f>IF($C9=0,0,$F9/$C9)</f>
        <v>0.8928571428571429</v>
      </c>
      <c r="M9" s="28">
        <f>IF($C9=0,0,$I9/$C9)</f>
        <v>0</v>
      </c>
    </row>
    <row r="10" spans="1:13" ht="18.75" customHeight="1">
      <c r="B10" s="29" t="s">
        <v>1055</v>
      </c>
      <c r="C10" s="20">
        <f>COUNT('Coaching log'!$A$4:$A$1048576)</f>
        <v>59</v>
      </c>
      <c r="D10" s="20">
        <f>COUNTIF('Coaching log'!$I$4:$I$1048576,"In Design")+COUNTIF('Coaching log'!$I$4:$I$1048576,"In design")</f>
        <v>0</v>
      </c>
      <c r="E10" s="20">
        <f>COUNTIF('Coaching log'!$I$4:$I$1048576,"Reviewed")+COUNTIF('Coaching log'!$I$4:$I$1048576,"Reviewed Completed")</f>
        <v>0</v>
      </c>
      <c r="F10" s="20">
        <v>45</v>
      </c>
      <c r="G10" s="20">
        <f>COUNTIF('Coaching log'!$I$4:$I$1048576,"Fail")+COUNTIF('Coaching log'!$I$4:$I$1048576,"Failed")</f>
        <v>2</v>
      </c>
      <c r="H10" s="20">
        <f>COUNTIF('Coaching log'!$I$4:$I$1048576,"Blocked")</f>
        <v>0</v>
      </c>
      <c r="I10" s="20">
        <f>COUNTIF('Coaching log'!$I$4:$I$1048576,"No Run")+COUNTIF('Coaching log'!$I$4:$I$1048576,"No run")</f>
        <v>0</v>
      </c>
      <c r="J10" s="28">
        <f>IF($C10=0,0,$H10/$C10)</f>
        <v>0</v>
      </c>
      <c r="K10" s="28">
        <f>IF($C10=0,0,$G10/$C10)</f>
        <v>3.3898305084745763E-2</v>
      </c>
      <c r="L10" s="28">
        <f>IF($C10=0,0,$F10/$C10)</f>
        <v>0.76271186440677963</v>
      </c>
      <c r="M10" s="28">
        <f>IF($C10=0,0,$I10/$C10)</f>
        <v>0</v>
      </c>
    </row>
    <row r="11" spans="1:13" ht="18.75" customHeight="1">
      <c r="B11" s="29" t="s">
        <v>1056</v>
      </c>
      <c r="C11" s="20">
        <v>0</v>
      </c>
      <c r="D11" s="20">
        <v>0</v>
      </c>
      <c r="E11" s="20">
        <v>0</v>
      </c>
      <c r="F11" s="20">
        <v>0</v>
      </c>
      <c r="G11" s="20">
        <v>0</v>
      </c>
      <c r="H11" s="20">
        <v>0</v>
      </c>
      <c r="I11" s="20">
        <v>0</v>
      </c>
      <c r="J11" s="28">
        <v>0</v>
      </c>
      <c r="K11" s="28">
        <v>0</v>
      </c>
      <c r="L11" s="28">
        <v>0</v>
      </c>
      <c r="M11" s="28">
        <v>0</v>
      </c>
    </row>
    <row r="12" spans="1:13" ht="18.75" customHeight="1">
      <c r="B12" s="38" t="s">
        <v>1057</v>
      </c>
      <c r="C12" s="20">
        <f>COUNT(Invoice!$A$3:$A$1048576)</f>
        <v>38</v>
      </c>
      <c r="D12" s="20">
        <f>COUNTIF(Invoice!$J$3:$J$1048576,"In Design")+COUNTIF(Invoice!$J$3:$J$1048576,"In design")</f>
        <v>0</v>
      </c>
      <c r="E12" s="20">
        <f>COUNTIF(Invoice!$J$3:$J$1048576,"Reviewed")+COUNTIF(Invoice!$J$3:$J$1048576,"Reviewed Completed")</f>
        <v>0</v>
      </c>
      <c r="F12" s="20">
        <f>COUNTIF(Invoice!$J$3:$J$1048576,"Pass")+COUNTIF(Invoice!$J$3:$J$1048576,"Passed")</f>
        <v>12</v>
      </c>
      <c r="G12" s="20">
        <f>COUNTIF(Invoice!$J$3:$J$1048576,"Fail")+COUNTIF(Invoice!$J$3:$J$1048576,"Failed")</f>
        <v>0</v>
      </c>
      <c r="H12" s="20">
        <f>COUNTIF(Invoice!$J$3:$J$1048576,"Blocked")</f>
        <v>26</v>
      </c>
      <c r="I12" s="20">
        <f>COUNTIF(Invoice!$J$3:$J$1048576,"No Run")+COUNTIF(Invoice!$J$3:$J$1048576,"No run")</f>
        <v>0</v>
      </c>
      <c r="J12" s="28">
        <f>IF($C12=0,0,$H12/$C12)</f>
        <v>0.68421052631578949</v>
      </c>
      <c r="K12" s="28">
        <f>IF($C12=0,0,$G12/$C12)</f>
        <v>0</v>
      </c>
      <c r="L12" s="28">
        <f>IF($C12=0,0,$F12/$C12)</f>
        <v>0.31578947368421051</v>
      </c>
      <c r="M12" s="28">
        <f>IF($C12=0,0,$I12/$C12)</f>
        <v>0</v>
      </c>
    </row>
    <row r="13" spans="1:13" ht="18.75" customHeight="1">
      <c r="B13" s="38" t="s">
        <v>1058</v>
      </c>
      <c r="C13" s="20">
        <f>'Checlklist-&amp;Template'!A1</f>
        <v>61</v>
      </c>
      <c r="D13" s="20">
        <v>3</v>
      </c>
      <c r="E13" s="20">
        <f>COUNTIF(Invoice!$J$3:$J$1048576,"Reviewed")+COUNTIF(Invoice!$J$3:$J$1048576,"Reviewed Completed")</f>
        <v>0</v>
      </c>
      <c r="F13" s="20">
        <v>55</v>
      </c>
      <c r="G13" s="20">
        <v>3</v>
      </c>
      <c r="H13" s="20">
        <f>COUNTIF(Invoice!$J$3:$J$1048576,"Blocked")</f>
        <v>26</v>
      </c>
      <c r="I13" s="20">
        <f>COUNTIF(Invoice!$J$3:$J$1048576,"No Run")+COUNTIF(Invoice!$J$3:$J$1048576,"No run")</f>
        <v>0</v>
      </c>
      <c r="J13" s="28">
        <f t="shared" ref="J13" si="0">IF($C13=0,0,$H13/$C13)</f>
        <v>0.42622950819672129</v>
      </c>
      <c r="K13" s="28">
        <f t="shared" ref="K13" si="1">IF($C13=0,0,$G13/$C13)</f>
        <v>4.9180327868852458E-2</v>
      </c>
      <c r="L13" s="28">
        <f t="shared" ref="L13" si="2">IF($C13=0,0,$F13/$C13)</f>
        <v>0.90163934426229508</v>
      </c>
      <c r="M13" s="28">
        <f t="shared" ref="M13" si="3">IF($C13=0,0,$I13/$C13)</f>
        <v>0</v>
      </c>
    </row>
    <row r="14" spans="1:13" ht="18.75" customHeight="1">
      <c r="B14" s="40" t="s">
        <v>1059</v>
      </c>
      <c r="C14" s="20">
        <v>0</v>
      </c>
      <c r="D14" s="20">
        <v>0</v>
      </c>
      <c r="E14" s="20">
        <v>0</v>
      </c>
      <c r="F14" s="20">
        <v>0</v>
      </c>
      <c r="G14" s="20">
        <v>0</v>
      </c>
      <c r="H14" s="20">
        <v>0</v>
      </c>
      <c r="I14" s="20">
        <v>0</v>
      </c>
      <c r="J14" s="28">
        <v>0</v>
      </c>
      <c r="K14" s="28">
        <v>0</v>
      </c>
      <c r="L14" s="28">
        <v>0</v>
      </c>
      <c r="M14" s="28">
        <v>0</v>
      </c>
    </row>
    <row r="15" spans="1:13" ht="18.75" customHeight="1">
      <c r="B15" s="40" t="s">
        <v>1060</v>
      </c>
      <c r="C15" s="20">
        <v>0</v>
      </c>
      <c r="D15" s="20">
        <v>0</v>
      </c>
      <c r="E15" s="20">
        <v>0</v>
      </c>
      <c r="F15" s="20">
        <v>0</v>
      </c>
      <c r="G15" s="20">
        <v>0</v>
      </c>
      <c r="H15" s="20">
        <v>0</v>
      </c>
      <c r="I15" s="20">
        <v>0</v>
      </c>
      <c r="J15" s="28">
        <v>0</v>
      </c>
      <c r="K15" s="28">
        <v>0</v>
      </c>
      <c r="L15" s="28">
        <v>0</v>
      </c>
      <c r="M15" s="28">
        <v>0</v>
      </c>
    </row>
    <row r="16" spans="1:13" ht="18.75" customHeight="1">
      <c r="B16" s="40" t="s">
        <v>1061</v>
      </c>
      <c r="C16" s="20">
        <v>0</v>
      </c>
      <c r="D16" s="20">
        <v>0</v>
      </c>
      <c r="E16" s="20">
        <v>0</v>
      </c>
      <c r="F16" s="20">
        <v>0</v>
      </c>
      <c r="G16" s="20">
        <v>0</v>
      </c>
      <c r="H16" s="20">
        <v>0</v>
      </c>
      <c r="I16" s="20">
        <v>0</v>
      </c>
      <c r="J16" s="28">
        <v>0</v>
      </c>
      <c r="K16" s="28">
        <v>0</v>
      </c>
      <c r="L16" s="28">
        <v>0</v>
      </c>
      <c r="M16" s="28">
        <v>0</v>
      </c>
    </row>
    <row r="17" spans="2:13" ht="30.75" customHeight="1">
      <c r="B17" s="41" t="s">
        <v>1062</v>
      </c>
      <c r="C17" s="20">
        <v>0</v>
      </c>
      <c r="D17" s="20">
        <v>0</v>
      </c>
      <c r="E17" s="20">
        <v>0</v>
      </c>
      <c r="F17" s="20">
        <v>0</v>
      </c>
      <c r="G17" s="20">
        <v>0</v>
      </c>
      <c r="H17" s="20">
        <v>0</v>
      </c>
      <c r="I17" s="20">
        <v>0</v>
      </c>
      <c r="J17" s="28">
        <v>0</v>
      </c>
      <c r="K17" s="28">
        <v>0</v>
      </c>
      <c r="L17" s="28">
        <v>0</v>
      </c>
      <c r="M17" s="28">
        <v>0</v>
      </c>
    </row>
    <row r="18" spans="2:13" ht="18.75" customHeight="1">
      <c r="C18" s="20">
        <v>0</v>
      </c>
      <c r="D18" s="20">
        <v>0</v>
      </c>
      <c r="E18" s="20">
        <v>0</v>
      </c>
      <c r="F18" s="20">
        <v>0</v>
      </c>
      <c r="G18" s="20">
        <v>0</v>
      </c>
      <c r="H18" s="20">
        <v>0</v>
      </c>
      <c r="I18" s="20">
        <f>C18-(F18-G18)</f>
        <v>0</v>
      </c>
      <c r="J18" s="28" t="e">
        <f>(H18/C18)</f>
        <v>#DIV/0!</v>
      </c>
      <c r="K18" s="28">
        <f>IF($C18=0,0,$G18/$C18)</f>
        <v>0</v>
      </c>
      <c r="L18" s="28">
        <f>IF($C18=0,0,$F18/$C18)</f>
        <v>0</v>
      </c>
      <c r="M18" s="28" t="e">
        <f>I18/(F18+G18)</f>
        <v>#DIV/0!</v>
      </c>
    </row>
    <row r="19" spans="2:13" ht="18.75" customHeight="1">
      <c r="C19" s="20">
        <v>0</v>
      </c>
      <c r="D19" s="20">
        <v>0</v>
      </c>
      <c r="E19" s="20">
        <v>0</v>
      </c>
      <c r="F19" s="20">
        <v>0</v>
      </c>
      <c r="G19" s="20">
        <v>0</v>
      </c>
      <c r="H19" s="20">
        <v>0</v>
      </c>
      <c r="I19" s="20">
        <f>C19-(F19-G19)</f>
        <v>0</v>
      </c>
      <c r="J19" s="28" t="e">
        <f>(H19/C19)</f>
        <v>#DIV/0!</v>
      </c>
      <c r="K19" s="28">
        <f>IF($C19=0,0,$G19/$C19)</f>
        <v>0</v>
      </c>
      <c r="L19" s="28">
        <f>IF($C19=0,0,$F19/$C19)</f>
        <v>0</v>
      </c>
      <c r="M19" s="28" t="e">
        <f>I19/(F19+G19)</f>
        <v>#DIV/0!</v>
      </c>
    </row>
    <row r="20" spans="2:13" ht="18.75" customHeight="1">
      <c r="B20" t="s">
        <v>1063</v>
      </c>
      <c r="C20" s="20">
        <f>SUM(C4:C18)</f>
        <v>562</v>
      </c>
      <c r="D20" s="20">
        <f>SUM(D4:D18)</f>
        <v>117</v>
      </c>
      <c r="E20" s="20">
        <f>SUM(E4:E18)</f>
        <v>142</v>
      </c>
      <c r="F20" s="20">
        <f>SUM(F4:F18)</f>
        <v>436</v>
      </c>
      <c r="G20" s="20">
        <f>SUM(G4:G18)</f>
        <v>25</v>
      </c>
      <c r="H20" s="20">
        <f>SUM(H4:H18)</f>
        <v>53</v>
      </c>
      <c r="I20" s="20">
        <f>C20-(F20-G20)</f>
        <v>151</v>
      </c>
      <c r="J20" s="28">
        <f>IF($C20=0,0,$H20/$C20)</f>
        <v>9.4306049822064059E-2</v>
      </c>
      <c r="K20" s="28">
        <f>IF($C20=0,0,$G20/$C20)</f>
        <v>4.4483985765124558E-2</v>
      </c>
      <c r="L20" s="28">
        <f>IF($C20=0,0,$F20/$C20)</f>
        <v>0.77580071174377219</v>
      </c>
      <c r="M20" s="28">
        <f>IF($C20=0,0,$I20/$C20)</f>
        <v>0.26868327402135234</v>
      </c>
    </row>
  </sheetData>
  <mergeCells count="1">
    <mergeCell ref="C2:H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3"/>
  <sheetViews>
    <sheetView workbookViewId="0">
      <pane ySplit="2" topLeftCell="S53" activePane="bottomLeft" state="frozen"/>
      <selection pane="bottomLeft" activeCell="H31" sqref="H31"/>
    </sheetView>
  </sheetViews>
  <sheetFormatPr defaultColWidth="9.140625" defaultRowHeight="12.75"/>
  <cols>
    <col min="1" max="1" width="11.42578125" style="95" customWidth="1"/>
    <col min="2" max="2" width="40.42578125" style="95" customWidth="1"/>
    <col min="3" max="3" width="24.28515625" style="95" hidden="1" customWidth="1"/>
    <col min="4" max="4" width="29.42578125" style="95" customWidth="1"/>
    <col min="5" max="5" width="51.140625" style="95" customWidth="1"/>
    <col min="6" max="6" width="23.42578125" style="95" hidden="1" customWidth="1"/>
    <col min="7" max="7" width="38.42578125" style="95" customWidth="1"/>
    <col min="8" max="8" width="36.28515625" style="95" customWidth="1"/>
    <col min="9" max="9" width="27.140625" style="95" customWidth="1"/>
    <col min="10" max="10" width="48.85546875" style="96" hidden="1" customWidth="1"/>
    <col min="11" max="16384" width="9.140625" style="95"/>
  </cols>
  <sheetData>
    <row r="1" spans="1:10">
      <c r="A1" s="95">
        <f>COUNT(A3:A44)</f>
        <v>31</v>
      </c>
    </row>
    <row r="2" spans="1:10" ht="40.5" customHeight="1">
      <c r="A2" s="89" t="s">
        <v>18</v>
      </c>
      <c r="B2" s="89" t="s">
        <v>19</v>
      </c>
      <c r="C2" s="89" t="s">
        <v>20</v>
      </c>
      <c r="D2" s="89" t="s">
        <v>21</v>
      </c>
      <c r="E2" s="89" t="s">
        <v>22</v>
      </c>
      <c r="F2" s="89" t="s">
        <v>23</v>
      </c>
      <c r="G2" s="89" t="s">
        <v>24</v>
      </c>
      <c r="H2" s="89" t="s">
        <v>25</v>
      </c>
      <c r="I2" s="89" t="s">
        <v>0</v>
      </c>
      <c r="J2" s="90" t="s">
        <v>131</v>
      </c>
    </row>
    <row r="3" spans="1:10" ht="13.5">
      <c r="A3" s="91">
        <v>1</v>
      </c>
      <c r="B3" s="91" t="s">
        <v>1064</v>
      </c>
      <c r="C3" s="91" t="s">
        <v>1065</v>
      </c>
      <c r="D3" s="91"/>
      <c r="E3" s="91" t="s">
        <v>1066</v>
      </c>
      <c r="F3" s="91" t="s">
        <v>1067</v>
      </c>
      <c r="G3" s="91" t="s">
        <v>1068</v>
      </c>
      <c r="H3" s="91" t="s">
        <v>139</v>
      </c>
      <c r="I3" s="97" t="s">
        <v>8</v>
      </c>
      <c r="J3" s="92"/>
    </row>
    <row r="4" spans="1:10" ht="25.5" customHeight="1">
      <c r="A4" s="91">
        <v>2</v>
      </c>
      <c r="B4" s="194" t="s">
        <v>1069</v>
      </c>
      <c r="C4" s="176" t="s">
        <v>1065</v>
      </c>
      <c r="D4" s="177" t="s">
        <v>1070</v>
      </c>
      <c r="E4" s="91" t="s">
        <v>1071</v>
      </c>
      <c r="F4" s="91" t="s">
        <v>1072</v>
      </c>
      <c r="G4" s="91" t="s">
        <v>1073</v>
      </c>
      <c r="H4" s="91" t="s">
        <v>139</v>
      </c>
      <c r="I4" s="97" t="s">
        <v>8</v>
      </c>
      <c r="J4" s="92"/>
    </row>
    <row r="5" spans="1:10" ht="13.5">
      <c r="A5" s="91">
        <v>3</v>
      </c>
      <c r="B5" s="195"/>
      <c r="C5" s="195"/>
      <c r="D5" s="195"/>
      <c r="E5" s="91" t="s">
        <v>1074</v>
      </c>
      <c r="F5" s="91" t="s">
        <v>1072</v>
      </c>
      <c r="G5" s="175" t="s">
        <v>1075</v>
      </c>
      <c r="H5" s="91" t="s">
        <v>139</v>
      </c>
      <c r="I5" s="97" t="s">
        <v>8</v>
      </c>
      <c r="J5" s="92"/>
    </row>
    <row r="6" spans="1:10" ht="13.5">
      <c r="A6" s="91">
        <v>4</v>
      </c>
      <c r="B6" s="195"/>
      <c r="C6" s="195"/>
      <c r="D6" s="195"/>
      <c r="E6" s="91" t="s">
        <v>1076</v>
      </c>
      <c r="F6" s="91" t="s">
        <v>1072</v>
      </c>
      <c r="G6" s="195"/>
      <c r="H6" s="91" t="s">
        <v>139</v>
      </c>
      <c r="I6" s="97" t="s">
        <v>8</v>
      </c>
      <c r="J6" s="92"/>
    </row>
    <row r="7" spans="1:10" ht="13.5">
      <c r="A7" s="91">
        <v>5</v>
      </c>
      <c r="B7" s="195"/>
      <c r="C7" s="195"/>
      <c r="D7" s="195"/>
      <c r="E7" s="91" t="s">
        <v>1077</v>
      </c>
      <c r="F7" s="91" t="s">
        <v>1072</v>
      </c>
      <c r="G7" s="195"/>
      <c r="H7" s="91" t="s">
        <v>139</v>
      </c>
      <c r="I7" s="97" t="s">
        <v>8</v>
      </c>
      <c r="J7" s="92"/>
    </row>
    <row r="8" spans="1:10" ht="13.5">
      <c r="A8" s="91">
        <v>6</v>
      </c>
      <c r="B8" s="195"/>
      <c r="C8" s="195"/>
      <c r="D8" s="195"/>
      <c r="E8" s="91" t="s">
        <v>1078</v>
      </c>
      <c r="F8" s="91" t="s">
        <v>1072</v>
      </c>
      <c r="G8" s="177" t="s">
        <v>1079</v>
      </c>
      <c r="H8" s="91" t="s">
        <v>139</v>
      </c>
      <c r="I8" s="97" t="s">
        <v>8</v>
      </c>
      <c r="J8" s="92"/>
    </row>
    <row r="9" spans="1:10" ht="25.5" customHeight="1">
      <c r="A9" s="91">
        <v>7</v>
      </c>
      <c r="B9" s="194" t="s">
        <v>1080</v>
      </c>
      <c r="C9" s="176" t="s">
        <v>1065</v>
      </c>
      <c r="D9" s="91"/>
      <c r="E9" s="93" t="s">
        <v>1081</v>
      </c>
      <c r="F9" s="91" t="s">
        <v>1072</v>
      </c>
      <c r="G9" s="195"/>
      <c r="H9" s="91" t="s">
        <v>139</v>
      </c>
      <c r="I9" s="97" t="s">
        <v>8</v>
      </c>
      <c r="J9" s="92"/>
    </row>
    <row r="10" spans="1:10" ht="13.5">
      <c r="A10" s="91">
        <v>8</v>
      </c>
      <c r="B10" s="195"/>
      <c r="C10" s="195"/>
      <c r="D10" s="91"/>
      <c r="E10" s="91" t="s">
        <v>1082</v>
      </c>
      <c r="F10" s="91" t="s">
        <v>1072</v>
      </c>
      <c r="G10" s="195"/>
      <c r="H10" s="91" t="s">
        <v>139</v>
      </c>
      <c r="I10" s="97" t="s">
        <v>8</v>
      </c>
      <c r="J10" s="92"/>
    </row>
    <row r="11" spans="1:10" ht="13.5">
      <c r="A11" s="91">
        <v>9</v>
      </c>
      <c r="B11" s="195"/>
      <c r="C11" s="195"/>
      <c r="D11" s="91"/>
      <c r="E11" s="91" t="s">
        <v>1083</v>
      </c>
      <c r="F11" s="91" t="s">
        <v>1072</v>
      </c>
      <c r="G11" s="195"/>
      <c r="H11" s="91" t="s">
        <v>139</v>
      </c>
      <c r="I11" s="97" t="s">
        <v>8</v>
      </c>
      <c r="J11" s="92"/>
    </row>
    <row r="12" spans="1:10" ht="13.5">
      <c r="A12" s="91">
        <v>10</v>
      </c>
      <c r="B12" s="195"/>
      <c r="C12" s="195"/>
      <c r="D12" s="91"/>
      <c r="E12" s="91" t="s">
        <v>1084</v>
      </c>
      <c r="F12" s="91" t="s">
        <v>1072</v>
      </c>
      <c r="G12" s="195"/>
      <c r="H12" s="91" t="s">
        <v>139</v>
      </c>
      <c r="I12" s="97" t="s">
        <v>8</v>
      </c>
      <c r="J12" s="92"/>
    </row>
    <row r="13" spans="1:10" ht="13.5">
      <c r="A13" s="91">
        <v>11</v>
      </c>
      <c r="B13" s="195"/>
      <c r="C13" s="195"/>
      <c r="D13" s="91"/>
      <c r="E13" s="91" t="s">
        <v>1085</v>
      </c>
      <c r="F13" s="91" t="s">
        <v>1072</v>
      </c>
      <c r="G13" s="195"/>
      <c r="H13" s="91" t="s">
        <v>139</v>
      </c>
      <c r="I13" s="97" t="s">
        <v>8</v>
      </c>
      <c r="J13" s="92"/>
    </row>
    <row r="14" spans="1:10" ht="13.5">
      <c r="A14" s="91">
        <v>12</v>
      </c>
      <c r="B14" s="177" t="s">
        <v>1086</v>
      </c>
      <c r="C14" s="176" t="s">
        <v>1065</v>
      </c>
      <c r="D14" s="91"/>
      <c r="E14" s="91" t="s">
        <v>1087</v>
      </c>
      <c r="F14" s="91" t="s">
        <v>1072</v>
      </c>
      <c r="G14" s="175" t="s">
        <v>1088</v>
      </c>
      <c r="H14" s="194" t="s">
        <v>1089</v>
      </c>
      <c r="I14" s="97" t="s">
        <v>8</v>
      </c>
      <c r="J14" s="92"/>
    </row>
    <row r="15" spans="1:10" ht="13.5">
      <c r="A15" s="91">
        <v>13</v>
      </c>
      <c r="B15" s="195"/>
      <c r="C15" s="195"/>
      <c r="D15" s="91"/>
      <c r="E15" s="91" t="s">
        <v>1090</v>
      </c>
      <c r="F15" s="91" t="s">
        <v>1072</v>
      </c>
      <c r="G15" s="195"/>
      <c r="H15" s="195"/>
      <c r="I15" s="97" t="s">
        <v>8</v>
      </c>
      <c r="J15" s="92"/>
    </row>
    <row r="16" spans="1:10" ht="13.5">
      <c r="A16" s="91">
        <v>14</v>
      </c>
      <c r="B16" s="195"/>
      <c r="C16" s="195"/>
      <c r="D16" s="91"/>
      <c r="E16" s="91" t="s">
        <v>1091</v>
      </c>
      <c r="F16" s="91" t="s">
        <v>1072</v>
      </c>
      <c r="G16" s="195"/>
      <c r="H16" s="195"/>
      <c r="I16" s="97" t="s">
        <v>8</v>
      </c>
      <c r="J16" s="92"/>
    </row>
    <row r="17" spans="1:10" ht="13.5">
      <c r="A17" s="91">
        <v>15</v>
      </c>
      <c r="B17" s="195"/>
      <c r="C17" s="195"/>
      <c r="D17" s="91"/>
      <c r="E17" s="91" t="s">
        <v>1092</v>
      </c>
      <c r="F17" s="91" t="s">
        <v>1072</v>
      </c>
      <c r="G17" s="195"/>
      <c r="H17" s="195"/>
      <c r="I17" s="97" t="s">
        <v>8</v>
      </c>
      <c r="J17" s="92"/>
    </row>
    <row r="18" spans="1:10" ht="13.5">
      <c r="A18" s="91">
        <v>16</v>
      </c>
      <c r="B18" s="195"/>
      <c r="C18" s="195"/>
      <c r="D18" s="91"/>
      <c r="E18" s="91" t="s">
        <v>1093</v>
      </c>
      <c r="F18" s="91" t="s">
        <v>1072</v>
      </c>
      <c r="G18" s="195"/>
      <c r="H18" s="195"/>
      <c r="I18" s="97" t="s">
        <v>8</v>
      </c>
      <c r="J18" s="92"/>
    </row>
    <row r="19" spans="1:10" ht="50.25" customHeight="1">
      <c r="A19" s="91">
        <v>17</v>
      </c>
      <c r="B19" s="195"/>
      <c r="C19" s="195"/>
      <c r="D19" s="91"/>
      <c r="E19" s="91" t="s">
        <v>1094</v>
      </c>
      <c r="F19" s="91" t="s">
        <v>1072</v>
      </c>
      <c r="G19" s="93" t="s">
        <v>1095</v>
      </c>
      <c r="H19" s="91" t="s">
        <v>139</v>
      </c>
      <c r="I19" s="97" t="s">
        <v>8</v>
      </c>
      <c r="J19" s="98" t="s">
        <v>1096</v>
      </c>
    </row>
    <row r="20" spans="1:10" ht="24" customHeight="1">
      <c r="A20" s="91">
        <v>18</v>
      </c>
      <c r="B20" s="93" t="s">
        <v>1097</v>
      </c>
      <c r="C20" s="91" t="s">
        <v>1065</v>
      </c>
      <c r="D20" s="91"/>
      <c r="E20" s="91" t="s">
        <v>1098</v>
      </c>
      <c r="F20" s="91" t="s">
        <v>1072</v>
      </c>
      <c r="G20" s="91"/>
      <c r="H20" s="91" t="s">
        <v>139</v>
      </c>
      <c r="I20" s="97" t="s">
        <v>8</v>
      </c>
      <c r="J20" s="92"/>
    </row>
    <row r="21" spans="1:10" ht="113.25" customHeight="1">
      <c r="A21" s="91">
        <v>19</v>
      </c>
      <c r="B21" s="93" t="s">
        <v>1099</v>
      </c>
      <c r="C21" s="91" t="s">
        <v>1065</v>
      </c>
      <c r="D21" s="91"/>
      <c r="E21" s="91" t="s">
        <v>1100</v>
      </c>
      <c r="F21" s="91" t="s">
        <v>1072</v>
      </c>
      <c r="G21" s="93" t="s">
        <v>1099</v>
      </c>
      <c r="H21" s="93" t="s">
        <v>1101</v>
      </c>
      <c r="I21" s="97" t="s">
        <v>10</v>
      </c>
      <c r="J21" s="98" t="s">
        <v>1102</v>
      </c>
    </row>
    <row r="22" spans="1:10" ht="38.25" customHeight="1">
      <c r="A22" s="91">
        <v>20</v>
      </c>
      <c r="B22" s="175" t="s">
        <v>1103</v>
      </c>
      <c r="C22" s="93" t="s">
        <v>1065</v>
      </c>
      <c r="D22" s="175" t="s">
        <v>1104</v>
      </c>
      <c r="E22" s="91" t="s">
        <v>1105</v>
      </c>
      <c r="F22" s="91" t="s">
        <v>1072</v>
      </c>
      <c r="G22" s="175" t="s">
        <v>1106</v>
      </c>
      <c r="H22" s="91" t="s">
        <v>139</v>
      </c>
      <c r="I22" s="97" t="s">
        <v>8</v>
      </c>
      <c r="J22" s="99"/>
    </row>
    <row r="23" spans="1:10" ht="13.5">
      <c r="A23" s="91">
        <v>21</v>
      </c>
      <c r="B23" s="195"/>
      <c r="C23" s="91" t="s">
        <v>1065</v>
      </c>
      <c r="D23" s="195"/>
      <c r="E23" s="91" t="s">
        <v>1107</v>
      </c>
      <c r="F23" s="91" t="s">
        <v>1072</v>
      </c>
      <c r="G23" s="195"/>
      <c r="H23" s="91" t="s">
        <v>139</v>
      </c>
      <c r="I23" s="97" t="s">
        <v>8</v>
      </c>
      <c r="J23" s="92"/>
    </row>
    <row r="24" spans="1:10" ht="38.25" customHeight="1">
      <c r="A24" s="91">
        <v>22</v>
      </c>
      <c r="B24" s="177" t="s">
        <v>1108</v>
      </c>
      <c r="C24" s="176" t="s">
        <v>1065</v>
      </c>
      <c r="D24" s="178" t="s">
        <v>1109</v>
      </c>
      <c r="E24" s="91" t="s">
        <v>1110</v>
      </c>
      <c r="F24" s="91" t="s">
        <v>1072</v>
      </c>
      <c r="G24" s="175" t="s">
        <v>1111</v>
      </c>
      <c r="H24" s="194" t="s">
        <v>1112</v>
      </c>
      <c r="I24" s="97" t="s">
        <v>8</v>
      </c>
      <c r="J24" s="92"/>
    </row>
    <row r="25" spans="1:10" ht="25.5" customHeight="1">
      <c r="A25" s="91">
        <v>23</v>
      </c>
      <c r="B25" s="195"/>
      <c r="C25" s="195"/>
      <c r="D25" s="195"/>
      <c r="E25" s="91" t="s">
        <v>1113</v>
      </c>
      <c r="F25" s="91" t="s">
        <v>1072</v>
      </c>
      <c r="G25" s="195"/>
      <c r="H25" s="195"/>
      <c r="I25" s="97" t="s">
        <v>8</v>
      </c>
      <c r="J25" s="92"/>
    </row>
    <row r="26" spans="1:10" ht="25.5" customHeight="1">
      <c r="A26" s="91">
        <v>24</v>
      </c>
      <c r="B26" s="195"/>
      <c r="C26" s="195"/>
      <c r="D26" s="195"/>
      <c r="E26" s="91" t="s">
        <v>1114</v>
      </c>
      <c r="F26" s="91" t="s">
        <v>1072</v>
      </c>
      <c r="G26" s="195"/>
      <c r="H26" s="195"/>
      <c r="I26" s="97" t="s">
        <v>8</v>
      </c>
      <c r="J26" s="92"/>
    </row>
    <row r="27" spans="1:10" ht="25.5" customHeight="1">
      <c r="A27" s="91">
        <v>25</v>
      </c>
      <c r="B27" s="195"/>
      <c r="C27" s="195"/>
      <c r="D27" s="195"/>
      <c r="E27" s="91" t="s">
        <v>1115</v>
      </c>
      <c r="F27" s="91" t="s">
        <v>1072</v>
      </c>
      <c r="G27" s="195"/>
      <c r="H27" s="195"/>
      <c r="I27" s="97" t="s">
        <v>8</v>
      </c>
      <c r="J27" s="92"/>
    </row>
    <row r="28" spans="1:10" ht="25.5" customHeight="1">
      <c r="A28" s="91">
        <v>26</v>
      </c>
      <c r="B28" s="195"/>
      <c r="C28" s="195"/>
      <c r="D28" s="195"/>
      <c r="E28" s="91" t="s">
        <v>1116</v>
      </c>
      <c r="F28" s="91" t="s">
        <v>1072</v>
      </c>
      <c r="G28" s="195"/>
      <c r="H28" s="195"/>
      <c r="I28" s="97" t="s">
        <v>8</v>
      </c>
      <c r="J28" s="92"/>
    </row>
    <row r="29" spans="1:10" ht="25.5" customHeight="1">
      <c r="A29" s="91">
        <v>27</v>
      </c>
      <c r="B29" s="195"/>
      <c r="C29" s="195"/>
      <c r="D29" s="195"/>
      <c r="E29" s="91" t="s">
        <v>1117</v>
      </c>
      <c r="F29" s="91" t="s">
        <v>1072</v>
      </c>
      <c r="G29" s="195"/>
      <c r="H29" s="195"/>
      <c r="I29" s="97" t="s">
        <v>8</v>
      </c>
      <c r="J29" s="92"/>
    </row>
    <row r="30" spans="1:10" ht="115.5" customHeight="1">
      <c r="A30" s="91">
        <v>28</v>
      </c>
      <c r="B30" s="94" t="s">
        <v>1118</v>
      </c>
      <c r="C30" s="91"/>
      <c r="D30" s="91"/>
      <c r="E30" s="93" t="s">
        <v>1119</v>
      </c>
      <c r="F30" s="91" t="s">
        <v>1072</v>
      </c>
      <c r="G30" s="94" t="s">
        <v>1120</v>
      </c>
      <c r="H30" s="94" t="s">
        <v>1121</v>
      </c>
      <c r="I30" s="97" t="s">
        <v>10</v>
      </c>
      <c r="J30" s="99" t="s">
        <v>1122</v>
      </c>
    </row>
    <row r="31" spans="1:10" ht="183.75" customHeight="1">
      <c r="A31" s="91">
        <v>29</v>
      </c>
      <c r="B31" s="93" t="s">
        <v>1123</v>
      </c>
      <c r="E31" s="97" t="s">
        <v>1124</v>
      </c>
      <c r="G31" s="94" t="s">
        <v>1125</v>
      </c>
      <c r="H31" s="95" t="s">
        <v>1126</v>
      </c>
      <c r="I31" s="97" t="s">
        <v>8</v>
      </c>
      <c r="J31" s="99" t="s">
        <v>1127</v>
      </c>
    </row>
    <row r="32" spans="1:10" ht="174" customHeight="1">
      <c r="A32" s="91">
        <v>30</v>
      </c>
      <c r="B32" s="97" t="s">
        <v>1128</v>
      </c>
      <c r="E32" s="97" t="s">
        <v>1129</v>
      </c>
      <c r="G32" s="94" t="s">
        <v>1130</v>
      </c>
      <c r="H32" s="97" t="s">
        <v>1131</v>
      </c>
      <c r="I32" s="97" t="s">
        <v>10</v>
      </c>
      <c r="J32" s="99" t="s">
        <v>1132</v>
      </c>
    </row>
    <row r="33" spans="1:10" ht="229.5" customHeight="1">
      <c r="A33" s="91">
        <v>31</v>
      </c>
      <c r="B33" s="97" t="s">
        <v>1133</v>
      </c>
      <c r="E33" s="97" t="s">
        <v>1134</v>
      </c>
      <c r="G33" s="94" t="s">
        <v>1135</v>
      </c>
      <c r="H33" s="97" t="s">
        <v>1136</v>
      </c>
      <c r="I33" s="97" t="s">
        <v>10</v>
      </c>
      <c r="J33" s="99" t="s">
        <v>1137</v>
      </c>
    </row>
  </sheetData>
  <mergeCells count="19">
    <mergeCell ref="C4:C8"/>
    <mergeCell ref="G5:G7"/>
    <mergeCell ref="D4:D8"/>
    <mergeCell ref="H24:H29"/>
    <mergeCell ref="D22:D23"/>
    <mergeCell ref="C9:C13"/>
    <mergeCell ref="H14:H18"/>
    <mergeCell ref="B9:B13"/>
    <mergeCell ref="C24:C29"/>
    <mergeCell ref="G14:G18"/>
    <mergeCell ref="C14:C19"/>
    <mergeCell ref="G24:G29"/>
    <mergeCell ref="B24:B29"/>
    <mergeCell ref="G22:G23"/>
    <mergeCell ref="D24:D29"/>
    <mergeCell ref="B22:B23"/>
    <mergeCell ref="G8:G13"/>
    <mergeCell ref="B4:B8"/>
    <mergeCell ref="B14:B19"/>
  </mergeCells>
  <dataValidations count="1">
    <dataValidation type="list" allowBlank="1" showInputMessage="1" showErrorMessage="1" sqref="I3:I33" xr:uid="{00000000-0002-0000-0500-000000000000}">
      <formula1>"In Design, Ready, Reviewed Completed, Pass, Fail, Blocked, No Run"</formula1>
    </dataValidation>
  </dataValidations>
  <hyperlinks>
    <hyperlink ref="J19" r:id="rId1" display="https://prutech.atlassian.net/browse/DOEECMS-1892" xr:uid="{00000000-0004-0000-0500-000000000000}"/>
    <hyperlink ref="J21" r:id="rId2" display="https://prutech.atlassian.net/browse/DOEECMS-1586" xr:uid="{00000000-0004-0000-0500-000001000000}"/>
    <hyperlink ref="J30" r:id="rId3" xr:uid="{00000000-0004-0000-0500-000002000000}"/>
    <hyperlink ref="J31" r:id="rId4" xr:uid="{00000000-0004-0000-0500-000003000000}"/>
    <hyperlink ref="J32" r:id="rId5" xr:uid="{00000000-0004-0000-0500-000004000000}"/>
    <hyperlink ref="J33" r:id="rId6" xr:uid="{00000000-0004-0000-0500-000005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50"/>
  <sheetViews>
    <sheetView workbookViewId="0">
      <pane ySplit="2" topLeftCell="A39" activePane="bottomLeft" state="frozen"/>
      <selection pane="bottomLeft" activeCell="A6" sqref="A6"/>
    </sheetView>
  </sheetViews>
  <sheetFormatPr defaultRowHeight="15"/>
  <cols>
    <col min="1" max="1" width="11.42578125" customWidth="1"/>
    <col min="2" max="2" width="50" style="1" customWidth="1"/>
    <col min="3" max="3" width="17" hidden="1" customWidth="1"/>
    <col min="4" max="4" width="46.140625" customWidth="1"/>
    <col min="5" max="5" width="41.28515625" customWidth="1"/>
    <col min="6" max="6" width="14.5703125" hidden="1" customWidth="1"/>
    <col min="7" max="7" width="50.28515625" customWidth="1"/>
    <col min="8" max="8" width="43.7109375" customWidth="1"/>
    <col min="9" max="9" width="15.5703125" customWidth="1"/>
    <col min="10" max="10" width="46.85546875" hidden="1" customWidth="1"/>
  </cols>
  <sheetData>
    <row r="1" spans="1:10">
      <c r="A1">
        <f>COUNT(A3:A63)</f>
        <v>47</v>
      </c>
      <c r="B1" s="1" t="s">
        <v>1138</v>
      </c>
    </row>
    <row r="2" spans="1:10" ht="30" customHeight="1">
      <c r="A2" s="5" t="s">
        <v>18</v>
      </c>
      <c r="B2" s="5" t="s">
        <v>19</v>
      </c>
      <c r="C2" s="5" t="s">
        <v>20</v>
      </c>
      <c r="D2" s="5" t="s">
        <v>21</v>
      </c>
      <c r="E2" s="5" t="s">
        <v>22</v>
      </c>
      <c r="F2" s="5" t="s">
        <v>23</v>
      </c>
      <c r="G2" s="5" t="s">
        <v>24</v>
      </c>
      <c r="H2" s="5" t="s">
        <v>25</v>
      </c>
      <c r="I2" s="5" t="s">
        <v>0</v>
      </c>
      <c r="J2" s="5" t="s">
        <v>131</v>
      </c>
    </row>
    <row r="3" spans="1:10">
      <c r="A3" s="6">
        <v>1</v>
      </c>
      <c r="B3" s="7" t="s">
        <v>1139</v>
      </c>
      <c r="C3" s="6" t="s">
        <v>1053</v>
      </c>
      <c r="D3" s="6"/>
      <c r="E3" s="6" t="s">
        <v>1140</v>
      </c>
      <c r="F3" s="6" t="s">
        <v>1141</v>
      </c>
      <c r="G3" s="6" t="s">
        <v>1142</v>
      </c>
      <c r="H3" s="6" t="s">
        <v>139</v>
      </c>
      <c r="I3" s="1" t="s">
        <v>8</v>
      </c>
      <c r="J3" s="6"/>
    </row>
    <row r="4" spans="1:10" ht="30.75" customHeight="1">
      <c r="A4" s="6">
        <v>2</v>
      </c>
      <c r="B4" s="8" t="s">
        <v>1143</v>
      </c>
      <c r="C4" s="6" t="s">
        <v>1053</v>
      </c>
      <c r="D4" s="7" t="s">
        <v>1144</v>
      </c>
      <c r="E4" s="6" t="s">
        <v>1145</v>
      </c>
      <c r="F4" s="6" t="s">
        <v>1146</v>
      </c>
      <c r="G4" s="6" t="s">
        <v>1147</v>
      </c>
      <c r="H4" s="6" t="s">
        <v>139</v>
      </c>
      <c r="I4" s="1" t="s">
        <v>8</v>
      </c>
      <c r="J4" s="6"/>
    </row>
    <row r="5" spans="1:10">
      <c r="A5" s="6">
        <v>3</v>
      </c>
      <c r="B5" s="7" t="s">
        <v>1148</v>
      </c>
      <c r="C5" s="6" t="s">
        <v>1053</v>
      </c>
      <c r="D5" s="6" t="s">
        <v>1149</v>
      </c>
      <c r="E5" s="6" t="s">
        <v>1150</v>
      </c>
      <c r="F5" s="6" t="s">
        <v>1141</v>
      </c>
      <c r="G5" s="6" t="s">
        <v>1151</v>
      </c>
      <c r="H5" s="6" t="s">
        <v>139</v>
      </c>
      <c r="I5" s="1" t="s">
        <v>8</v>
      </c>
      <c r="J5" s="6"/>
    </row>
    <row r="6" spans="1:10">
      <c r="A6" s="6">
        <v>4</v>
      </c>
      <c r="B6" s="8" t="s">
        <v>1152</v>
      </c>
      <c r="C6" s="6" t="s">
        <v>1053</v>
      </c>
      <c r="D6" s="6"/>
      <c r="E6" s="6" t="s">
        <v>1153</v>
      </c>
      <c r="F6" s="6" t="s">
        <v>1141</v>
      </c>
      <c r="G6" s="6" t="s">
        <v>1154</v>
      </c>
      <c r="H6" s="6" t="s">
        <v>139</v>
      </c>
      <c r="I6" s="1" t="s">
        <v>8</v>
      </c>
      <c r="J6" s="6"/>
    </row>
    <row r="7" spans="1:10" ht="30.75" customHeight="1">
      <c r="A7" s="6">
        <v>5</v>
      </c>
      <c r="B7" s="8" t="s">
        <v>1155</v>
      </c>
      <c r="C7" s="6" t="s">
        <v>1053</v>
      </c>
      <c r="D7" s="6"/>
      <c r="E7" s="6" t="s">
        <v>1156</v>
      </c>
      <c r="F7" s="6" t="s">
        <v>138</v>
      </c>
      <c r="G7" s="6" t="s">
        <v>1157</v>
      </c>
      <c r="H7" s="6" t="s">
        <v>139</v>
      </c>
      <c r="I7" s="1" t="s">
        <v>8</v>
      </c>
      <c r="J7" s="6"/>
    </row>
    <row r="8" spans="1:10" ht="30.75" customHeight="1">
      <c r="A8" s="6">
        <v>6</v>
      </c>
      <c r="B8" s="8" t="s">
        <v>1158</v>
      </c>
      <c r="C8" s="6" t="s">
        <v>1053</v>
      </c>
      <c r="D8" s="6" t="s">
        <v>1159</v>
      </c>
      <c r="E8" s="9" t="s">
        <v>1160</v>
      </c>
      <c r="F8" s="6" t="s">
        <v>138</v>
      </c>
      <c r="G8" s="6" t="s">
        <v>1161</v>
      </c>
      <c r="H8" s="6" t="s">
        <v>139</v>
      </c>
      <c r="I8" s="1" t="s">
        <v>8</v>
      </c>
      <c r="J8" s="6"/>
    </row>
    <row r="9" spans="1:10" ht="30.75" customHeight="1">
      <c r="A9" s="6">
        <v>7</v>
      </c>
      <c r="B9" s="8" t="s">
        <v>1162</v>
      </c>
      <c r="C9" s="6" t="s">
        <v>1053</v>
      </c>
      <c r="D9" s="6"/>
      <c r="E9" s="6" t="s">
        <v>1163</v>
      </c>
      <c r="F9" s="6" t="s">
        <v>138</v>
      </c>
      <c r="G9" s="6" t="s">
        <v>1164</v>
      </c>
      <c r="H9" s="6" t="s">
        <v>139</v>
      </c>
      <c r="I9" s="1" t="s">
        <v>8</v>
      </c>
      <c r="J9" s="6"/>
    </row>
    <row r="10" spans="1:10" ht="30.75" customHeight="1">
      <c r="A10" s="6">
        <v>8</v>
      </c>
      <c r="B10" s="8" t="s">
        <v>1165</v>
      </c>
      <c r="C10" s="6" t="s">
        <v>1053</v>
      </c>
      <c r="D10" s="6"/>
      <c r="E10" s="6" t="s">
        <v>1166</v>
      </c>
      <c r="F10" s="6" t="s">
        <v>138</v>
      </c>
      <c r="G10" s="8" t="s">
        <v>1167</v>
      </c>
      <c r="H10" s="6" t="s">
        <v>139</v>
      </c>
      <c r="I10" s="1" t="s">
        <v>8</v>
      </c>
      <c r="J10" s="6"/>
    </row>
    <row r="11" spans="1:10" ht="30.75" customHeight="1">
      <c r="A11" s="6">
        <v>9</v>
      </c>
      <c r="B11" s="8" t="s">
        <v>1168</v>
      </c>
      <c r="C11" s="6" t="s">
        <v>1053</v>
      </c>
      <c r="D11" s="6"/>
      <c r="E11" s="8" t="s">
        <v>1169</v>
      </c>
      <c r="F11" s="6" t="s">
        <v>138</v>
      </c>
      <c r="G11" s="8" t="s">
        <v>1170</v>
      </c>
      <c r="H11" s="6" t="s">
        <v>139</v>
      </c>
      <c r="I11" s="1" t="s">
        <v>8</v>
      </c>
      <c r="J11" s="6"/>
    </row>
    <row r="12" spans="1:10" ht="60.75" customHeight="1">
      <c r="A12" s="6">
        <v>10</v>
      </c>
      <c r="B12" s="8" t="s">
        <v>1171</v>
      </c>
      <c r="C12" s="6" t="s">
        <v>1053</v>
      </c>
      <c r="D12" s="6"/>
      <c r="E12" s="8" t="s">
        <v>1172</v>
      </c>
      <c r="F12" s="6" t="s">
        <v>138</v>
      </c>
      <c r="G12" s="8" t="s">
        <v>1173</v>
      </c>
      <c r="H12" s="6" t="s">
        <v>139</v>
      </c>
      <c r="I12" s="1" t="s">
        <v>8</v>
      </c>
      <c r="J12" s="6"/>
    </row>
    <row r="13" spans="1:10" ht="45.75" customHeight="1">
      <c r="A13" s="6">
        <v>11</v>
      </c>
      <c r="B13" s="8" t="s">
        <v>1174</v>
      </c>
      <c r="C13" s="6" t="s">
        <v>1053</v>
      </c>
      <c r="D13" s="6" t="s">
        <v>1175</v>
      </c>
      <c r="E13" s="8" t="s">
        <v>1176</v>
      </c>
      <c r="F13" s="6" t="s">
        <v>138</v>
      </c>
      <c r="G13" s="8" t="s">
        <v>1177</v>
      </c>
      <c r="H13" s="6" t="s">
        <v>139</v>
      </c>
      <c r="I13" s="1" t="s">
        <v>8</v>
      </c>
      <c r="J13" s="6"/>
    </row>
    <row r="14" spans="1:10" ht="45.75" customHeight="1">
      <c r="A14" s="6">
        <v>12</v>
      </c>
      <c r="B14" s="8" t="s">
        <v>1178</v>
      </c>
      <c r="C14" s="6" t="s">
        <v>1053</v>
      </c>
      <c r="D14" s="6"/>
      <c r="E14" s="8" t="s">
        <v>1179</v>
      </c>
      <c r="F14" s="6" t="s">
        <v>138</v>
      </c>
      <c r="G14" s="8" t="s">
        <v>1180</v>
      </c>
      <c r="H14" s="6" t="s">
        <v>139</v>
      </c>
      <c r="I14" s="1" t="s">
        <v>8</v>
      </c>
      <c r="J14" s="6"/>
    </row>
    <row r="15" spans="1:10" ht="45.75" customHeight="1">
      <c r="A15" s="6">
        <v>13</v>
      </c>
      <c r="B15" s="8" t="s">
        <v>1181</v>
      </c>
      <c r="C15" s="6" t="s">
        <v>1053</v>
      </c>
      <c r="D15" s="6"/>
      <c r="E15" s="8" t="s">
        <v>1182</v>
      </c>
      <c r="F15" s="6" t="s">
        <v>138</v>
      </c>
      <c r="G15" s="8" t="s">
        <v>1177</v>
      </c>
      <c r="H15" s="6" t="s">
        <v>139</v>
      </c>
      <c r="I15" s="1" t="s">
        <v>8</v>
      </c>
      <c r="J15" s="6"/>
    </row>
    <row r="16" spans="1:10" ht="30.75" customHeight="1">
      <c r="A16" s="6">
        <v>14</v>
      </c>
      <c r="B16" s="8" t="s">
        <v>1183</v>
      </c>
      <c r="C16" s="6" t="s">
        <v>1053</v>
      </c>
      <c r="D16" s="6"/>
      <c r="E16" s="8" t="s">
        <v>1184</v>
      </c>
      <c r="F16" s="6" t="s">
        <v>138</v>
      </c>
      <c r="G16" s="8" t="s">
        <v>1185</v>
      </c>
      <c r="H16" s="6" t="s">
        <v>139</v>
      </c>
      <c r="I16" s="1" t="s">
        <v>8</v>
      </c>
      <c r="J16" s="6"/>
    </row>
    <row r="17" spans="1:10" ht="30.75" customHeight="1">
      <c r="A17" s="6">
        <v>15</v>
      </c>
      <c r="B17" s="8" t="s">
        <v>1186</v>
      </c>
      <c r="C17" s="6" t="s">
        <v>1053</v>
      </c>
      <c r="D17" s="9" t="s">
        <v>1187</v>
      </c>
      <c r="E17" s="8" t="s">
        <v>1188</v>
      </c>
      <c r="F17" s="6" t="s">
        <v>138</v>
      </c>
      <c r="G17" s="8" t="s">
        <v>1189</v>
      </c>
      <c r="H17" s="6" t="s">
        <v>139</v>
      </c>
      <c r="I17" s="1" t="s">
        <v>8</v>
      </c>
      <c r="J17" s="6"/>
    </row>
    <row r="18" spans="1:10" ht="45.75" customHeight="1">
      <c r="A18" s="6">
        <v>16</v>
      </c>
      <c r="B18" s="6" t="s">
        <v>1190</v>
      </c>
      <c r="C18" s="6" t="s">
        <v>1053</v>
      </c>
      <c r="D18" s="6"/>
      <c r="E18" s="8" t="s">
        <v>1191</v>
      </c>
      <c r="F18" s="6" t="s">
        <v>138</v>
      </c>
      <c r="G18" s="8" t="s">
        <v>1192</v>
      </c>
      <c r="H18" s="6" t="s">
        <v>139</v>
      </c>
      <c r="I18" s="1" t="s">
        <v>8</v>
      </c>
      <c r="J18" s="6"/>
    </row>
    <row r="19" spans="1:10" ht="30.75" customHeight="1">
      <c r="A19" s="6">
        <v>17</v>
      </c>
      <c r="B19" s="8" t="s">
        <v>1193</v>
      </c>
      <c r="C19" s="6" t="s">
        <v>1053</v>
      </c>
      <c r="D19" s="6"/>
      <c r="E19" s="8" t="s">
        <v>1194</v>
      </c>
      <c r="F19" s="6" t="s">
        <v>138</v>
      </c>
      <c r="G19" s="8" t="s">
        <v>1195</v>
      </c>
      <c r="H19" s="6" t="s">
        <v>139</v>
      </c>
      <c r="I19" s="1" t="s">
        <v>8</v>
      </c>
      <c r="J19" s="6"/>
    </row>
    <row r="20" spans="1:10" ht="30.75" customHeight="1">
      <c r="A20" s="6">
        <v>18</v>
      </c>
      <c r="B20" s="8" t="s">
        <v>1196</v>
      </c>
      <c r="C20" s="6" t="s">
        <v>1053</v>
      </c>
      <c r="D20" s="6"/>
      <c r="E20" s="8" t="s">
        <v>1197</v>
      </c>
      <c r="F20" s="6" t="s">
        <v>138</v>
      </c>
      <c r="G20" s="8" t="s">
        <v>1198</v>
      </c>
      <c r="H20" s="6" t="s">
        <v>139</v>
      </c>
      <c r="I20" s="1" t="s">
        <v>8</v>
      </c>
      <c r="J20" s="6"/>
    </row>
    <row r="21" spans="1:10" ht="45.75" customHeight="1">
      <c r="A21" s="6">
        <v>19</v>
      </c>
      <c r="B21" s="6" t="s">
        <v>1199</v>
      </c>
      <c r="C21" s="6" t="s">
        <v>1053</v>
      </c>
      <c r="D21" s="6"/>
      <c r="E21" s="8" t="s">
        <v>1200</v>
      </c>
      <c r="F21" s="6" t="s">
        <v>138</v>
      </c>
      <c r="G21" s="8" t="s">
        <v>1201</v>
      </c>
      <c r="H21" s="6" t="s">
        <v>139</v>
      </c>
      <c r="I21" s="1" t="s">
        <v>8</v>
      </c>
      <c r="J21" s="6"/>
    </row>
    <row r="22" spans="1:10" ht="137.25" customHeight="1">
      <c r="A22" s="6">
        <v>20</v>
      </c>
      <c r="B22" s="159" t="s">
        <v>1202</v>
      </c>
      <c r="C22" s="159" t="s">
        <v>1053</v>
      </c>
      <c r="D22" s="6"/>
      <c r="E22" s="8" t="s">
        <v>1203</v>
      </c>
      <c r="F22" s="6" t="s">
        <v>138</v>
      </c>
      <c r="G22" s="8" t="s">
        <v>1204</v>
      </c>
      <c r="H22" s="6" t="s">
        <v>139</v>
      </c>
      <c r="I22" s="1" t="s">
        <v>8</v>
      </c>
      <c r="J22" s="6"/>
    </row>
    <row r="23" spans="1:10" ht="30.75" customHeight="1">
      <c r="A23" s="6">
        <v>21</v>
      </c>
      <c r="B23" s="158"/>
      <c r="C23" s="181"/>
      <c r="D23" s="6"/>
      <c r="E23" s="8" t="s">
        <v>1203</v>
      </c>
      <c r="F23" s="6" t="s">
        <v>1205</v>
      </c>
      <c r="G23" s="8" t="s">
        <v>1206</v>
      </c>
      <c r="H23" s="6" t="s">
        <v>139</v>
      </c>
      <c r="I23" s="1" t="s">
        <v>8</v>
      </c>
      <c r="J23" s="6"/>
    </row>
    <row r="24" spans="1:10" ht="30.75" customHeight="1">
      <c r="A24" s="6">
        <v>22</v>
      </c>
      <c r="B24" s="6" t="s">
        <v>1207</v>
      </c>
      <c r="C24" s="6" t="s">
        <v>1053</v>
      </c>
      <c r="D24" s="6"/>
      <c r="E24" s="8" t="s">
        <v>1208</v>
      </c>
      <c r="F24" s="6" t="s">
        <v>138</v>
      </c>
      <c r="G24" s="8" t="s">
        <v>1209</v>
      </c>
      <c r="H24" s="6" t="s">
        <v>139</v>
      </c>
      <c r="I24" s="1" t="s">
        <v>8</v>
      </c>
      <c r="J24" s="6"/>
    </row>
    <row r="25" spans="1:10">
      <c r="A25" s="6">
        <v>23</v>
      </c>
      <c r="B25" s="6" t="s">
        <v>1210</v>
      </c>
      <c r="C25" s="6" t="s">
        <v>1053</v>
      </c>
      <c r="D25" s="6"/>
      <c r="E25" s="8" t="s">
        <v>1211</v>
      </c>
      <c r="F25" s="6" t="s">
        <v>138</v>
      </c>
      <c r="G25" s="9" t="s">
        <v>1212</v>
      </c>
      <c r="H25" s="6" t="s">
        <v>139</v>
      </c>
      <c r="I25" s="1" t="s">
        <v>8</v>
      </c>
      <c r="J25" s="6"/>
    </row>
    <row r="26" spans="1:10">
      <c r="A26" s="6">
        <v>24</v>
      </c>
      <c r="B26" s="6" t="s">
        <v>1213</v>
      </c>
      <c r="C26" s="6" t="s">
        <v>1053</v>
      </c>
      <c r="D26" s="6"/>
      <c r="E26" s="8" t="s">
        <v>1214</v>
      </c>
      <c r="F26" s="6" t="s">
        <v>138</v>
      </c>
      <c r="G26" s="8" t="s">
        <v>1215</v>
      </c>
      <c r="H26" s="6" t="s">
        <v>139</v>
      </c>
      <c r="I26" s="1" t="s">
        <v>8</v>
      </c>
      <c r="J26" s="6"/>
    </row>
    <row r="27" spans="1:10" ht="45.75" customHeight="1">
      <c r="A27" s="6">
        <v>25</v>
      </c>
      <c r="B27" s="8" t="s">
        <v>1216</v>
      </c>
      <c r="C27" s="6" t="s">
        <v>1053</v>
      </c>
      <c r="D27" s="9" t="s">
        <v>1217</v>
      </c>
      <c r="E27" s="8" t="s">
        <v>1218</v>
      </c>
      <c r="F27" s="6" t="s">
        <v>1219</v>
      </c>
      <c r="G27" s="8" t="s">
        <v>1220</v>
      </c>
      <c r="H27" s="6" t="s">
        <v>139</v>
      </c>
      <c r="I27" s="1" t="s">
        <v>8</v>
      </c>
      <c r="J27" s="6"/>
    </row>
    <row r="28" spans="1:10" ht="45.75" customHeight="1">
      <c r="A28" s="6">
        <v>26</v>
      </c>
      <c r="B28" s="8" t="s">
        <v>1221</v>
      </c>
      <c r="C28" s="6" t="s">
        <v>1053</v>
      </c>
      <c r="D28" s="6"/>
      <c r="E28" s="8" t="s">
        <v>1222</v>
      </c>
      <c r="F28" s="6" t="s">
        <v>1219</v>
      </c>
      <c r="G28" s="8" t="s">
        <v>1223</v>
      </c>
      <c r="H28" s="6" t="s">
        <v>139</v>
      </c>
      <c r="I28" s="1" t="s">
        <v>8</v>
      </c>
      <c r="J28" s="6"/>
    </row>
    <row r="29" spans="1:10" ht="45.75" customHeight="1">
      <c r="A29" s="6">
        <v>27</v>
      </c>
      <c r="B29" s="8" t="s">
        <v>1224</v>
      </c>
      <c r="C29" s="6" t="s">
        <v>1053</v>
      </c>
      <c r="D29" s="6"/>
      <c r="E29" s="8" t="s">
        <v>1225</v>
      </c>
      <c r="F29" s="6" t="s">
        <v>1219</v>
      </c>
      <c r="G29" s="8" t="s">
        <v>1226</v>
      </c>
      <c r="H29" s="6" t="s">
        <v>139</v>
      </c>
      <c r="I29" s="1" t="s">
        <v>8</v>
      </c>
      <c r="J29" s="6"/>
    </row>
    <row r="30" spans="1:10" ht="45.75" customHeight="1">
      <c r="A30" s="6">
        <v>28</v>
      </c>
      <c r="B30" s="8" t="s">
        <v>1227</v>
      </c>
      <c r="C30" s="6" t="s">
        <v>1053</v>
      </c>
      <c r="D30" s="6"/>
      <c r="E30" s="8" t="s">
        <v>1228</v>
      </c>
      <c r="F30" s="6" t="s">
        <v>1219</v>
      </c>
      <c r="G30" s="8" t="s">
        <v>1229</v>
      </c>
      <c r="H30" s="6" t="s">
        <v>139</v>
      </c>
      <c r="I30" s="1" t="s">
        <v>8</v>
      </c>
      <c r="J30" s="6"/>
    </row>
    <row r="31" spans="1:10" ht="30.75" customHeight="1">
      <c r="A31" s="6">
        <v>29</v>
      </c>
      <c r="B31" s="8" t="s">
        <v>1183</v>
      </c>
      <c r="C31" s="6" t="s">
        <v>1053</v>
      </c>
      <c r="D31" s="6"/>
      <c r="E31" s="8" t="s">
        <v>1230</v>
      </c>
      <c r="F31" s="6" t="s">
        <v>1219</v>
      </c>
      <c r="G31" s="8" t="s">
        <v>1231</v>
      </c>
      <c r="H31" s="6" t="s">
        <v>139</v>
      </c>
      <c r="I31" s="1" t="s">
        <v>8</v>
      </c>
      <c r="J31" s="6"/>
    </row>
    <row r="32" spans="1:10" ht="30.75" customHeight="1">
      <c r="A32" s="6">
        <v>30</v>
      </c>
      <c r="B32" s="10" t="s">
        <v>1232</v>
      </c>
      <c r="C32" s="6" t="s">
        <v>1053</v>
      </c>
      <c r="D32" s="6"/>
      <c r="E32" s="8" t="s">
        <v>1233</v>
      </c>
      <c r="F32" s="6" t="s">
        <v>138</v>
      </c>
      <c r="G32" s="11" t="s">
        <v>1234</v>
      </c>
      <c r="H32" s="6" t="s">
        <v>139</v>
      </c>
      <c r="I32" s="1" t="s">
        <v>8</v>
      </c>
      <c r="J32" s="6"/>
    </row>
    <row r="33" spans="1:11" ht="30.75" customHeight="1">
      <c r="A33" s="6">
        <v>31</v>
      </c>
      <c r="B33" s="8" t="s">
        <v>1235</v>
      </c>
      <c r="C33" s="6" t="s">
        <v>1053</v>
      </c>
      <c r="D33" s="6"/>
      <c r="E33" s="8" t="s">
        <v>1236</v>
      </c>
      <c r="F33" s="6" t="s">
        <v>1219</v>
      </c>
      <c r="G33" s="8" t="s">
        <v>1237</v>
      </c>
      <c r="H33" s="6" t="s">
        <v>139</v>
      </c>
      <c r="I33" s="1" t="s">
        <v>8</v>
      </c>
      <c r="J33" s="6"/>
    </row>
    <row r="34" spans="1:11" ht="30.75" customHeight="1">
      <c r="A34" s="6">
        <v>32</v>
      </c>
      <c r="B34" s="161" t="s">
        <v>1238</v>
      </c>
      <c r="C34" s="159" t="s">
        <v>1053</v>
      </c>
      <c r="D34" s="6"/>
      <c r="E34" s="8" t="s">
        <v>1239</v>
      </c>
      <c r="F34" s="6" t="s">
        <v>1219</v>
      </c>
      <c r="G34" s="8" t="s">
        <v>1240</v>
      </c>
      <c r="H34" s="6" t="s">
        <v>139</v>
      </c>
      <c r="I34" s="1" t="s">
        <v>8</v>
      </c>
      <c r="J34" s="6"/>
    </row>
    <row r="35" spans="1:11" ht="30.75" customHeight="1">
      <c r="A35" s="6">
        <v>33</v>
      </c>
      <c r="B35" s="158"/>
      <c r="C35" s="181"/>
      <c r="D35" s="6"/>
      <c r="E35" s="8" t="s">
        <v>1241</v>
      </c>
      <c r="F35" s="6" t="s">
        <v>1205</v>
      </c>
      <c r="G35" s="8" t="s">
        <v>1242</v>
      </c>
      <c r="H35" s="6" t="s">
        <v>139</v>
      </c>
      <c r="I35" s="1" t="s">
        <v>8</v>
      </c>
      <c r="J35" s="6"/>
    </row>
    <row r="36" spans="1:11" ht="76.5" customHeight="1">
      <c r="A36" s="6">
        <v>34</v>
      </c>
      <c r="B36" s="1" t="s">
        <v>1243</v>
      </c>
      <c r="C36" s="6" t="s">
        <v>1053</v>
      </c>
      <c r="D36" t="s">
        <v>1244</v>
      </c>
      <c r="E36" s="1" t="s">
        <v>1245</v>
      </c>
      <c r="F36" t="s">
        <v>138</v>
      </c>
      <c r="G36" t="s">
        <v>1246</v>
      </c>
      <c r="H36" t="s">
        <v>1247</v>
      </c>
      <c r="I36" s="1" t="s">
        <v>8</v>
      </c>
      <c r="J36" s="12" t="s">
        <v>1248</v>
      </c>
    </row>
    <row r="37" spans="1:11" ht="76.5" customHeight="1">
      <c r="A37" s="6">
        <v>35</v>
      </c>
      <c r="B37" s="1" t="s">
        <v>1249</v>
      </c>
      <c r="C37" s="6" t="s">
        <v>1053</v>
      </c>
      <c r="D37" t="s">
        <v>1250</v>
      </c>
      <c r="E37" s="1" t="s">
        <v>1251</v>
      </c>
      <c r="F37" t="s">
        <v>138</v>
      </c>
      <c r="G37" t="s">
        <v>1252</v>
      </c>
      <c r="H37" t="s">
        <v>1247</v>
      </c>
      <c r="I37" s="1" t="s">
        <v>8</v>
      </c>
      <c r="J37" s="12" t="s">
        <v>1253</v>
      </c>
    </row>
    <row r="38" spans="1:11" ht="305.25" customHeight="1">
      <c r="A38" s="6">
        <v>36</v>
      </c>
      <c r="B38" s="1" t="s">
        <v>1254</v>
      </c>
      <c r="E38" s="1" t="s">
        <v>1255</v>
      </c>
      <c r="F38" t="s">
        <v>138</v>
      </c>
      <c r="G38" s="1" t="s">
        <v>1256</v>
      </c>
      <c r="H38" t="s">
        <v>139</v>
      </c>
      <c r="I38" s="1" t="s">
        <v>8</v>
      </c>
      <c r="J38" s="12" t="s">
        <v>1257</v>
      </c>
    </row>
    <row r="39" spans="1:11" ht="91.5" customHeight="1">
      <c r="A39" s="6">
        <v>37</v>
      </c>
      <c r="B39" s="1" t="s">
        <v>1258</v>
      </c>
      <c r="E39" s="1" t="s">
        <v>1259</v>
      </c>
      <c r="G39" t="s">
        <v>1260</v>
      </c>
      <c r="H39" t="s">
        <v>1261</v>
      </c>
      <c r="I39" s="1" t="s">
        <v>14</v>
      </c>
    </row>
    <row r="40" spans="1:11" ht="91.5" customHeight="1">
      <c r="A40" s="6">
        <v>38</v>
      </c>
      <c r="B40" s="1" t="s">
        <v>1262</v>
      </c>
      <c r="E40" s="1" t="s">
        <v>1263</v>
      </c>
      <c r="F40" t="s">
        <v>138</v>
      </c>
      <c r="G40" t="s">
        <v>1264</v>
      </c>
      <c r="H40" t="s">
        <v>139</v>
      </c>
      <c r="I40" s="1" t="s">
        <v>8</v>
      </c>
    </row>
    <row r="41" spans="1:11" ht="192.75" customHeight="1">
      <c r="A41" s="6">
        <v>39</v>
      </c>
      <c r="B41" s="1" t="s">
        <v>1265</v>
      </c>
      <c r="E41" s="1" t="s">
        <v>1266</v>
      </c>
      <c r="G41" s="1" t="s">
        <v>1267</v>
      </c>
      <c r="I41" s="1" t="s">
        <v>8</v>
      </c>
    </row>
    <row r="42" spans="1:11" ht="273.75" customHeight="1">
      <c r="A42" s="6">
        <v>40</v>
      </c>
      <c r="B42" s="4" t="s">
        <v>1268</v>
      </c>
      <c r="C42" s="13" t="s">
        <v>1053</v>
      </c>
      <c r="D42" s="13"/>
      <c r="E42" s="4" t="s">
        <v>1269</v>
      </c>
      <c r="F42" s="13"/>
      <c r="G42" s="4" t="s">
        <v>1270</v>
      </c>
      <c r="H42" s="4" t="s">
        <v>1271</v>
      </c>
      <c r="I42" s="1" t="s">
        <v>8</v>
      </c>
      <c r="J42" s="14" t="s">
        <v>1272</v>
      </c>
      <c r="K42" s="14"/>
    </row>
    <row r="43" spans="1:11" ht="106.5" customHeight="1">
      <c r="A43">
        <v>41</v>
      </c>
      <c r="B43" s="17" t="s">
        <v>1273</v>
      </c>
      <c r="E43" s="1" t="s">
        <v>1274</v>
      </c>
      <c r="G43" s="1" t="s">
        <v>1275</v>
      </c>
      <c r="H43" s="21" t="s">
        <v>1276</v>
      </c>
      <c r="I43" s="1" t="s">
        <v>10</v>
      </c>
      <c r="J43" s="12" t="s">
        <v>1277</v>
      </c>
    </row>
    <row r="44" spans="1:11" ht="152.25" customHeight="1">
      <c r="A44">
        <v>42</v>
      </c>
      <c r="B44" s="1" t="s">
        <v>1278</v>
      </c>
      <c r="E44" s="1" t="s">
        <v>1279</v>
      </c>
      <c r="G44" s="1" t="s">
        <v>1280</v>
      </c>
      <c r="H44" s="21" t="s">
        <v>1281</v>
      </c>
      <c r="I44" s="1" t="s">
        <v>10</v>
      </c>
      <c r="J44" s="12" t="s">
        <v>1282</v>
      </c>
    </row>
    <row r="45" spans="1:11" ht="60.75" customHeight="1">
      <c r="A45">
        <v>43</v>
      </c>
      <c r="B45" s="17" t="s">
        <v>1283</v>
      </c>
      <c r="E45" s="1" t="s">
        <v>1284</v>
      </c>
      <c r="G45" s="1" t="s">
        <v>1285</v>
      </c>
      <c r="H45" s="1" t="s">
        <v>1286</v>
      </c>
      <c r="I45" s="1" t="s">
        <v>10</v>
      </c>
      <c r="J45" s="12" t="s">
        <v>1287</v>
      </c>
    </row>
    <row r="46" spans="1:11" ht="366" customHeight="1">
      <c r="A46">
        <v>44</v>
      </c>
      <c r="B46" s="21" t="s">
        <v>1288</v>
      </c>
      <c r="E46" s="1" t="s">
        <v>1289</v>
      </c>
      <c r="G46" s="1" t="s">
        <v>1290</v>
      </c>
      <c r="H46" s="1" t="s">
        <v>1291</v>
      </c>
      <c r="I46" s="1" t="s">
        <v>10</v>
      </c>
      <c r="J46" s="12" t="s">
        <v>1292</v>
      </c>
    </row>
    <row r="47" spans="1:11" ht="366" customHeight="1">
      <c r="A47">
        <v>45</v>
      </c>
      <c r="B47" s="37" t="s">
        <v>1293</v>
      </c>
      <c r="E47" s="1" t="s">
        <v>1289</v>
      </c>
      <c r="G47" s="1" t="s">
        <v>1290</v>
      </c>
      <c r="H47" s="1" t="s">
        <v>1294</v>
      </c>
      <c r="I47" s="1" t="s">
        <v>10</v>
      </c>
      <c r="J47" s="12" t="s">
        <v>1292</v>
      </c>
    </row>
    <row r="48" spans="1:11" ht="76.5" customHeight="1">
      <c r="A48">
        <v>46</v>
      </c>
      <c r="B48" s="1" t="s">
        <v>1295</v>
      </c>
      <c r="E48" s="1" t="s">
        <v>1296</v>
      </c>
      <c r="G48" s="1" t="s">
        <v>1297</v>
      </c>
      <c r="H48" s="17" t="s">
        <v>1298</v>
      </c>
      <c r="I48" s="1" t="s">
        <v>10</v>
      </c>
      <c r="J48" s="12" t="s">
        <v>1299</v>
      </c>
    </row>
    <row r="49" spans="1:10" ht="137.25" customHeight="1">
      <c r="A49">
        <v>47</v>
      </c>
      <c r="B49" s="1" t="s">
        <v>1300</v>
      </c>
      <c r="E49" s="1" t="s">
        <v>1301</v>
      </c>
      <c r="G49" s="1" t="s">
        <v>1302</v>
      </c>
      <c r="H49" s="1" t="s">
        <v>1303</v>
      </c>
      <c r="I49" s="1" t="s">
        <v>8</v>
      </c>
      <c r="J49" s="12" t="s">
        <v>1304</v>
      </c>
    </row>
    <row r="50" spans="1:10" ht="76.5" customHeight="1">
      <c r="G50" s="1" t="s">
        <v>1305</v>
      </c>
      <c r="H50" t="s">
        <v>139</v>
      </c>
      <c r="I50" s="1" t="s">
        <v>8</v>
      </c>
      <c r="J50" s="12" t="s">
        <v>1306</v>
      </c>
    </row>
  </sheetData>
  <mergeCells count="4">
    <mergeCell ref="B22:B23"/>
    <mergeCell ref="C34:C35"/>
    <mergeCell ref="B34:B35"/>
    <mergeCell ref="C22:C23"/>
  </mergeCells>
  <dataValidations count="1">
    <dataValidation type="list" allowBlank="1" showInputMessage="1" showErrorMessage="1" sqref="I3:I50" xr:uid="{00000000-0002-0000-0B00-000000000000}">
      <formula1>"In Design, Ready, Reviewed Completed, Pass, Fail, Blocked, No Run"</formula1>
    </dataValidation>
  </dataValidations>
  <hyperlinks>
    <hyperlink ref="J36" r:id="rId1" display="https://prutech.atlassian.net/browse/DOEECMS-1884" xr:uid="{00000000-0004-0000-0B00-000000000000}"/>
    <hyperlink ref="J37" r:id="rId2" display="https://prutech.atlassian.net/browse/DOEECMS-1884" xr:uid="{00000000-0004-0000-0B00-000001000000}"/>
    <hyperlink ref="J38" r:id="rId3" xr:uid="{00000000-0004-0000-0B00-000002000000}"/>
    <hyperlink ref="J42" r:id="rId4" xr:uid="{00000000-0004-0000-0B00-000003000000}"/>
    <hyperlink ref="J43" r:id="rId5" xr:uid="{00000000-0004-0000-0B00-000004000000}"/>
    <hyperlink ref="J44" r:id="rId6" xr:uid="{00000000-0004-0000-0B00-000005000000}"/>
    <hyperlink ref="J45" r:id="rId7" xr:uid="{00000000-0004-0000-0B00-000006000000}"/>
    <hyperlink ref="J46" r:id="rId8" xr:uid="{00000000-0004-0000-0B00-000007000000}"/>
    <hyperlink ref="J47" r:id="rId9" xr:uid="{00000000-0004-0000-0B00-000008000000}"/>
    <hyperlink ref="J48" r:id="rId10" xr:uid="{00000000-0004-0000-0B00-000009000000}"/>
    <hyperlink ref="J49" r:id="rId11" xr:uid="{00000000-0004-0000-0B00-00000A000000}"/>
    <hyperlink ref="J50" r:id="rId12" xr:uid="{00000000-0004-0000-0B00-00000B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32"/>
  <sheetViews>
    <sheetView workbookViewId="0">
      <pane ySplit="3" topLeftCell="C4" activePane="bottomLeft" state="frozen"/>
      <selection pane="bottomLeft" activeCell="C1" sqref="C1"/>
    </sheetView>
  </sheetViews>
  <sheetFormatPr defaultRowHeight="15"/>
  <cols>
    <col min="1" max="1" width="16.28515625" customWidth="1"/>
    <col min="2" max="2" width="46.140625" customWidth="1"/>
    <col min="3" max="3" width="23.85546875" customWidth="1"/>
    <col min="4" max="4" width="38.85546875" customWidth="1"/>
    <col min="5" max="5" width="44.85546875" customWidth="1"/>
    <col min="6" max="6" width="24.85546875" customWidth="1"/>
    <col min="7" max="7" width="58.42578125" customWidth="1"/>
    <col min="8" max="8" width="31.140625" customWidth="1"/>
    <col min="9" max="9" width="15.140625" customWidth="1"/>
    <col min="10" max="10" width="48.5703125" hidden="1" customWidth="1"/>
    <col min="11" max="11" width="9.140625" customWidth="1"/>
  </cols>
  <sheetData>
    <row r="1" spans="1:10">
      <c r="A1" s="13" t="s">
        <v>16</v>
      </c>
      <c r="B1" s="13" t="s">
        <v>17</v>
      </c>
    </row>
    <row r="2" spans="1:10">
      <c r="A2">
        <f>COUNT(A4:A49)</f>
        <v>29</v>
      </c>
    </row>
    <row r="3" spans="1:10">
      <c r="A3" s="57" t="s">
        <v>18</v>
      </c>
      <c r="B3" s="2" t="s">
        <v>19</v>
      </c>
      <c r="C3" s="2" t="s">
        <v>20</v>
      </c>
      <c r="D3" s="2" t="s">
        <v>21</v>
      </c>
      <c r="E3" s="2" t="s">
        <v>22</v>
      </c>
      <c r="F3" s="2" t="s">
        <v>23</v>
      </c>
      <c r="G3" s="2" t="s">
        <v>24</v>
      </c>
      <c r="H3" s="2" t="s">
        <v>25</v>
      </c>
      <c r="I3" s="2" t="s">
        <v>0</v>
      </c>
      <c r="J3" s="13" t="s">
        <v>26</v>
      </c>
    </row>
    <row r="4" spans="1:10">
      <c r="A4" s="45">
        <v>1</v>
      </c>
      <c r="B4" t="s">
        <v>1139</v>
      </c>
      <c r="C4" t="s">
        <v>1307</v>
      </c>
      <c r="E4" t="s">
        <v>1308</v>
      </c>
      <c r="F4" t="s">
        <v>183</v>
      </c>
      <c r="G4" t="s">
        <v>1309</v>
      </c>
      <c r="H4" t="s">
        <v>1310</v>
      </c>
      <c r="I4" s="1" t="s">
        <v>8</v>
      </c>
    </row>
    <row r="5" spans="1:10" ht="30.75" customHeight="1">
      <c r="A5" s="45">
        <v>2</v>
      </c>
      <c r="B5" s="1" t="s">
        <v>1143</v>
      </c>
      <c r="C5" t="s">
        <v>1307</v>
      </c>
      <c r="D5" t="s">
        <v>1144</v>
      </c>
      <c r="E5" t="s">
        <v>1311</v>
      </c>
      <c r="F5" t="s">
        <v>183</v>
      </c>
      <c r="G5" t="s">
        <v>1312</v>
      </c>
      <c r="H5" t="s">
        <v>1310</v>
      </c>
      <c r="I5" s="1" t="s">
        <v>8</v>
      </c>
    </row>
    <row r="6" spans="1:10">
      <c r="A6" s="45">
        <v>3</v>
      </c>
      <c r="B6" t="s">
        <v>1148</v>
      </c>
      <c r="C6" t="s">
        <v>1307</v>
      </c>
      <c r="D6" t="s">
        <v>1313</v>
      </c>
      <c r="E6" t="s">
        <v>1314</v>
      </c>
      <c r="F6" t="s">
        <v>183</v>
      </c>
      <c r="G6" t="s">
        <v>1315</v>
      </c>
      <c r="H6" t="s">
        <v>1310</v>
      </c>
      <c r="I6" s="1" t="s">
        <v>8</v>
      </c>
    </row>
    <row r="7" spans="1:10" ht="30.75" customHeight="1">
      <c r="A7" s="45">
        <v>4</v>
      </c>
      <c r="B7" s="1" t="s">
        <v>1316</v>
      </c>
      <c r="C7" t="s">
        <v>1307</v>
      </c>
      <c r="E7" t="s">
        <v>1317</v>
      </c>
      <c r="F7" t="s">
        <v>183</v>
      </c>
      <c r="G7" t="s">
        <v>1318</v>
      </c>
      <c r="H7" t="s">
        <v>1310</v>
      </c>
      <c r="I7" s="1" t="s">
        <v>8</v>
      </c>
    </row>
    <row r="8" spans="1:10" ht="30.75" customHeight="1">
      <c r="A8" s="45">
        <v>5</v>
      </c>
      <c r="B8" s="1" t="s">
        <v>1319</v>
      </c>
      <c r="C8" t="s">
        <v>1307</v>
      </c>
      <c r="D8" t="s">
        <v>1320</v>
      </c>
      <c r="E8" t="s">
        <v>1321</v>
      </c>
      <c r="F8" t="s">
        <v>183</v>
      </c>
      <c r="G8" t="s">
        <v>1322</v>
      </c>
      <c r="H8" t="s">
        <v>1323</v>
      </c>
      <c r="I8" s="1" t="s">
        <v>8</v>
      </c>
    </row>
    <row r="9" spans="1:10" ht="30.75" customHeight="1">
      <c r="A9" s="45">
        <v>6</v>
      </c>
      <c r="B9" t="s">
        <v>1324</v>
      </c>
      <c r="C9" t="s">
        <v>1307</v>
      </c>
      <c r="E9" t="s">
        <v>1321</v>
      </c>
      <c r="F9" t="s">
        <v>183</v>
      </c>
      <c r="G9" s="1" t="s">
        <v>1325</v>
      </c>
      <c r="H9" t="s">
        <v>1326</v>
      </c>
      <c r="I9" s="1" t="s">
        <v>8</v>
      </c>
    </row>
    <row r="10" spans="1:10" ht="30.75" customHeight="1">
      <c r="A10" s="45">
        <v>7</v>
      </c>
      <c r="B10" s="1" t="s">
        <v>1327</v>
      </c>
      <c r="C10" t="s">
        <v>1307</v>
      </c>
      <c r="D10" s="1" t="s">
        <v>1328</v>
      </c>
      <c r="E10" t="s">
        <v>1329</v>
      </c>
      <c r="F10" t="s">
        <v>183</v>
      </c>
      <c r="G10" t="s">
        <v>1330</v>
      </c>
      <c r="H10" t="s">
        <v>139</v>
      </c>
      <c r="I10" s="1" t="s">
        <v>8</v>
      </c>
    </row>
    <row r="11" spans="1:10" ht="30.75" customHeight="1">
      <c r="A11" s="45">
        <v>8</v>
      </c>
      <c r="B11" s="1" t="s">
        <v>1331</v>
      </c>
      <c r="C11" t="s">
        <v>1307</v>
      </c>
      <c r="D11" s="1" t="s">
        <v>1332</v>
      </c>
      <c r="E11" t="s">
        <v>1333</v>
      </c>
      <c r="F11" t="s">
        <v>183</v>
      </c>
      <c r="G11" t="s">
        <v>1334</v>
      </c>
      <c r="H11" t="s">
        <v>1310</v>
      </c>
      <c r="I11" s="1" t="s">
        <v>8</v>
      </c>
    </row>
    <row r="12" spans="1:10" ht="30.75" customHeight="1">
      <c r="A12" s="45">
        <v>9</v>
      </c>
      <c r="B12" s="1" t="s">
        <v>1335</v>
      </c>
      <c r="C12" t="s">
        <v>1307</v>
      </c>
      <c r="D12" s="1" t="s">
        <v>1336</v>
      </c>
      <c r="E12" t="s">
        <v>1333</v>
      </c>
      <c r="F12" t="s">
        <v>183</v>
      </c>
      <c r="G12" t="s">
        <v>1337</v>
      </c>
      <c r="H12" t="s">
        <v>1310</v>
      </c>
      <c r="I12" s="1" t="s">
        <v>8</v>
      </c>
    </row>
    <row r="13" spans="1:10" ht="57.75" customHeight="1">
      <c r="A13" s="45">
        <v>10</v>
      </c>
      <c r="B13" s="73" t="s">
        <v>1338</v>
      </c>
      <c r="C13" t="s">
        <v>1307</v>
      </c>
      <c r="D13" s="74" t="s">
        <v>1339</v>
      </c>
      <c r="E13" t="s">
        <v>1340</v>
      </c>
      <c r="F13" t="s">
        <v>183</v>
      </c>
      <c r="G13" s="73" t="s">
        <v>1341</v>
      </c>
      <c r="H13" s="73" t="s">
        <v>1310</v>
      </c>
      <c r="I13" s="1" t="s">
        <v>8</v>
      </c>
    </row>
    <row r="14" spans="1:10" ht="30.75" customHeight="1">
      <c r="A14" s="45">
        <v>11</v>
      </c>
      <c r="B14" s="1" t="s">
        <v>1342</v>
      </c>
      <c r="C14" t="s">
        <v>1307</v>
      </c>
      <c r="E14" t="s">
        <v>1343</v>
      </c>
      <c r="F14" t="s">
        <v>183</v>
      </c>
      <c r="G14" s="1" t="s">
        <v>1344</v>
      </c>
      <c r="H14" t="s">
        <v>1310</v>
      </c>
      <c r="I14" s="1" t="s">
        <v>8</v>
      </c>
    </row>
    <row r="15" spans="1:10" ht="30.75" customHeight="1">
      <c r="A15" s="45">
        <v>12</v>
      </c>
      <c r="B15" s="1" t="s">
        <v>1345</v>
      </c>
      <c r="C15" t="s">
        <v>1307</v>
      </c>
      <c r="D15" t="s">
        <v>1346</v>
      </c>
      <c r="E15" t="s">
        <v>1343</v>
      </c>
      <c r="F15" t="s">
        <v>183</v>
      </c>
      <c r="G15" t="s">
        <v>1347</v>
      </c>
      <c r="H15" t="s">
        <v>1348</v>
      </c>
      <c r="I15" s="1" t="s">
        <v>8</v>
      </c>
    </row>
    <row r="16" spans="1:10" ht="45.75" customHeight="1">
      <c r="A16" s="45">
        <v>13</v>
      </c>
      <c r="B16" s="1" t="s">
        <v>1349</v>
      </c>
      <c r="C16" t="s">
        <v>1307</v>
      </c>
      <c r="D16" t="s">
        <v>1350</v>
      </c>
      <c r="E16" t="s">
        <v>1351</v>
      </c>
      <c r="F16" t="s">
        <v>183</v>
      </c>
      <c r="G16" s="1" t="s">
        <v>1352</v>
      </c>
      <c r="H16" t="s">
        <v>1310</v>
      </c>
      <c r="I16" s="1" t="s">
        <v>8</v>
      </c>
      <c r="J16" s="12" t="s">
        <v>1353</v>
      </c>
    </row>
    <row r="17" spans="1:10" ht="76.5" customHeight="1">
      <c r="A17" s="45">
        <v>14</v>
      </c>
      <c r="B17" s="1" t="s">
        <v>1354</v>
      </c>
      <c r="C17" t="s">
        <v>1307</v>
      </c>
      <c r="D17" t="s">
        <v>1355</v>
      </c>
      <c r="E17" t="s">
        <v>1351</v>
      </c>
      <c r="F17" t="s">
        <v>183</v>
      </c>
      <c r="G17" s="1" t="s">
        <v>1356</v>
      </c>
      <c r="H17" s="1" t="s">
        <v>1357</v>
      </c>
      <c r="I17" s="1" t="s">
        <v>10</v>
      </c>
      <c r="J17" s="12" t="s">
        <v>1358</v>
      </c>
    </row>
    <row r="18" spans="1:10" ht="45.75" customHeight="1">
      <c r="A18" s="45">
        <v>15</v>
      </c>
      <c r="B18" s="1" t="s">
        <v>1359</v>
      </c>
      <c r="C18" t="s">
        <v>1307</v>
      </c>
      <c r="D18" t="s">
        <v>1360</v>
      </c>
      <c r="E18" t="s">
        <v>1361</v>
      </c>
      <c r="F18" t="s">
        <v>183</v>
      </c>
      <c r="G18" s="1" t="s">
        <v>1362</v>
      </c>
      <c r="H18" t="s">
        <v>1310</v>
      </c>
      <c r="I18" s="1" t="s">
        <v>8</v>
      </c>
      <c r="J18" s="12" t="s">
        <v>1363</v>
      </c>
    </row>
    <row r="19" spans="1:10" ht="45.75" customHeight="1">
      <c r="A19" s="45">
        <v>16</v>
      </c>
      <c r="B19" s="1" t="s">
        <v>1364</v>
      </c>
      <c r="C19" t="s">
        <v>1307</v>
      </c>
      <c r="D19" t="s">
        <v>1365</v>
      </c>
      <c r="E19" t="s">
        <v>1366</v>
      </c>
      <c r="F19" t="s">
        <v>183</v>
      </c>
      <c r="G19" t="s">
        <v>1367</v>
      </c>
      <c r="H19" t="s">
        <v>1310</v>
      </c>
      <c r="I19" s="1" t="s">
        <v>8</v>
      </c>
    </row>
    <row r="20" spans="1:10" ht="30.75" customHeight="1">
      <c r="A20" s="45">
        <v>17</v>
      </c>
      <c r="B20" s="1" t="s">
        <v>1368</v>
      </c>
      <c r="C20" t="s">
        <v>1307</v>
      </c>
      <c r="D20" t="s">
        <v>1369</v>
      </c>
      <c r="E20" t="s">
        <v>1370</v>
      </c>
      <c r="F20" t="s">
        <v>183</v>
      </c>
      <c r="G20" s="1" t="s">
        <v>1371</v>
      </c>
      <c r="H20" t="s">
        <v>1310</v>
      </c>
      <c r="I20" s="1" t="s">
        <v>8</v>
      </c>
    </row>
    <row r="21" spans="1:10" ht="45.75" customHeight="1">
      <c r="A21" s="45">
        <v>18</v>
      </c>
      <c r="B21" s="1" t="s">
        <v>1372</v>
      </c>
      <c r="C21" t="s">
        <v>1307</v>
      </c>
      <c r="D21" t="s">
        <v>1373</v>
      </c>
      <c r="E21" t="s">
        <v>1374</v>
      </c>
      <c r="F21" t="s">
        <v>183</v>
      </c>
      <c r="G21" t="s">
        <v>1375</v>
      </c>
      <c r="H21" t="s">
        <v>1310</v>
      </c>
      <c r="I21" s="1" t="s">
        <v>8</v>
      </c>
    </row>
    <row r="22" spans="1:10" ht="30.75" customHeight="1">
      <c r="A22" s="45">
        <v>19</v>
      </c>
      <c r="B22" s="1" t="s">
        <v>1376</v>
      </c>
      <c r="C22" t="s">
        <v>1307</v>
      </c>
      <c r="D22" t="s">
        <v>1377</v>
      </c>
      <c r="E22" t="s">
        <v>1378</v>
      </c>
      <c r="F22" t="s">
        <v>183</v>
      </c>
      <c r="G22" s="1" t="s">
        <v>1379</v>
      </c>
      <c r="H22" t="s">
        <v>1310</v>
      </c>
      <c r="I22" s="1" t="s">
        <v>8</v>
      </c>
    </row>
    <row r="23" spans="1:10" ht="30.75" customHeight="1">
      <c r="A23" s="45">
        <v>20</v>
      </c>
      <c r="B23" s="1" t="s">
        <v>1380</v>
      </c>
      <c r="C23" t="s">
        <v>1307</v>
      </c>
      <c r="D23" t="s">
        <v>1381</v>
      </c>
      <c r="E23" t="s">
        <v>1382</v>
      </c>
      <c r="F23" t="s">
        <v>183</v>
      </c>
      <c r="G23" s="1" t="s">
        <v>1383</v>
      </c>
      <c r="I23" s="1" t="s">
        <v>8</v>
      </c>
    </row>
    <row r="24" spans="1:10" ht="45.75" customHeight="1">
      <c r="A24" s="45">
        <v>21</v>
      </c>
      <c r="B24" s="1" t="s">
        <v>1384</v>
      </c>
      <c r="C24" t="s">
        <v>1307</v>
      </c>
      <c r="D24" t="s">
        <v>1385</v>
      </c>
      <c r="F24" t="s">
        <v>183</v>
      </c>
      <c r="G24" t="s">
        <v>1386</v>
      </c>
      <c r="H24" t="s">
        <v>1310</v>
      </c>
      <c r="I24" s="1" t="s">
        <v>8</v>
      </c>
    </row>
    <row r="25" spans="1:10" ht="30.75" customHeight="1">
      <c r="A25" s="45">
        <v>22</v>
      </c>
      <c r="B25" s="1" t="s">
        <v>1387</v>
      </c>
      <c r="C25" t="s">
        <v>1307</v>
      </c>
      <c r="D25" t="s">
        <v>1388</v>
      </c>
      <c r="F25" t="s">
        <v>183</v>
      </c>
      <c r="G25" t="s">
        <v>1389</v>
      </c>
      <c r="I25" s="1" t="s">
        <v>8</v>
      </c>
    </row>
    <row r="26" spans="1:10" ht="30.75" customHeight="1">
      <c r="A26" s="45">
        <v>23</v>
      </c>
      <c r="B26" s="1" t="s">
        <v>1390</v>
      </c>
      <c r="C26" t="s">
        <v>1307</v>
      </c>
      <c r="D26" t="s">
        <v>1391</v>
      </c>
      <c r="E26" t="s">
        <v>1366</v>
      </c>
      <c r="F26" t="s">
        <v>183</v>
      </c>
      <c r="G26" s="1" t="s">
        <v>1392</v>
      </c>
      <c r="H26" t="s">
        <v>1310</v>
      </c>
      <c r="I26" s="1" t="s">
        <v>8</v>
      </c>
    </row>
    <row r="27" spans="1:10" s="75" customFormat="1" ht="244.5" customHeight="1">
      <c r="A27" s="45">
        <v>24</v>
      </c>
      <c r="B27" s="44" t="s">
        <v>1393</v>
      </c>
      <c r="C27" s="75" t="s">
        <v>1394</v>
      </c>
      <c r="E27" s="44" t="s">
        <v>1395</v>
      </c>
      <c r="G27" s="44" t="s">
        <v>1396</v>
      </c>
      <c r="I27" s="1" t="s">
        <v>8</v>
      </c>
      <c r="J27" s="58" t="s">
        <v>1397</v>
      </c>
    </row>
    <row r="28" spans="1:10" ht="76.5" customHeight="1">
      <c r="A28" s="45">
        <v>25</v>
      </c>
      <c r="B28" s="23" t="s">
        <v>1398</v>
      </c>
      <c r="E28" s="1" t="s">
        <v>1399</v>
      </c>
      <c r="F28" t="s">
        <v>183</v>
      </c>
      <c r="G28" t="s">
        <v>1400</v>
      </c>
      <c r="H28" t="s">
        <v>1401</v>
      </c>
      <c r="I28" s="1" t="s">
        <v>8</v>
      </c>
      <c r="J28" s="12" t="s">
        <v>1358</v>
      </c>
    </row>
    <row r="29" spans="1:10">
      <c r="A29" s="45">
        <v>26</v>
      </c>
      <c r="B29" t="s">
        <v>1402</v>
      </c>
      <c r="D29" t="s">
        <v>1403</v>
      </c>
      <c r="E29" t="s">
        <v>1404</v>
      </c>
      <c r="F29" t="s">
        <v>1405</v>
      </c>
      <c r="G29" t="s">
        <v>1406</v>
      </c>
      <c r="H29" s="15" t="s">
        <v>1407</v>
      </c>
      <c r="I29" s="1" t="s">
        <v>12</v>
      </c>
      <c r="J29" s="12" t="s">
        <v>1408</v>
      </c>
    </row>
    <row r="30" spans="1:10">
      <c r="A30" s="45">
        <v>27</v>
      </c>
      <c r="B30" t="s">
        <v>1409</v>
      </c>
      <c r="F30" t="s">
        <v>1410</v>
      </c>
      <c r="G30" t="s">
        <v>1411</v>
      </c>
      <c r="H30" t="s">
        <v>1412</v>
      </c>
      <c r="I30" s="1" t="s">
        <v>8</v>
      </c>
      <c r="J30" s="12" t="s">
        <v>1353</v>
      </c>
    </row>
    <row r="31" spans="1:10" ht="121.5" customHeight="1">
      <c r="A31" s="45">
        <v>28</v>
      </c>
      <c r="B31" t="s">
        <v>1413</v>
      </c>
      <c r="C31" t="s">
        <v>1414</v>
      </c>
      <c r="D31" t="s">
        <v>1403</v>
      </c>
      <c r="E31" s="1" t="s">
        <v>1415</v>
      </c>
      <c r="F31" t="s">
        <v>1405</v>
      </c>
      <c r="G31" s="17" t="s">
        <v>1416</v>
      </c>
      <c r="H31" t="s">
        <v>1417</v>
      </c>
      <c r="I31" s="1" t="s">
        <v>8</v>
      </c>
      <c r="J31" s="12" t="s">
        <v>1418</v>
      </c>
    </row>
    <row r="32" spans="1:10">
      <c r="A32" s="45">
        <v>29</v>
      </c>
    </row>
  </sheetData>
  <dataValidations count="1">
    <dataValidation type="list" allowBlank="1" showInputMessage="1" showErrorMessage="1" sqref="I4:I31" xr:uid="{00000000-0002-0000-0600-000000000000}">
      <formula1>"In Design, Ready, Reviewed Completed, Pass, Fail, Blocked, No Run"</formula1>
    </dataValidation>
  </dataValidations>
  <hyperlinks>
    <hyperlink ref="J16" r:id="rId1" xr:uid="{00000000-0004-0000-0600-000000000000}"/>
    <hyperlink ref="J17" r:id="rId2" xr:uid="{00000000-0004-0000-0600-000001000000}"/>
    <hyperlink ref="J18" r:id="rId3" xr:uid="{00000000-0004-0000-0600-000002000000}"/>
    <hyperlink ref="J27" r:id="rId4" xr:uid="{00000000-0004-0000-0600-000003000000}"/>
    <hyperlink ref="J28" r:id="rId5" xr:uid="{00000000-0004-0000-0600-000004000000}"/>
    <hyperlink ref="J29" r:id="rId6" xr:uid="{00000000-0004-0000-0600-000005000000}"/>
    <hyperlink ref="J30" r:id="rId7" xr:uid="{00000000-0004-0000-0600-000006000000}"/>
    <hyperlink ref="J31" r:id="rId8" xr:uid="{00000000-0004-0000-0600-000007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D2"/>
  <sheetViews>
    <sheetView workbookViewId="0">
      <selection activeCell="C10" sqref="C10"/>
    </sheetView>
  </sheetViews>
  <sheetFormatPr defaultRowHeight="15"/>
  <cols>
    <col min="1" max="1" width="34.5703125" customWidth="1"/>
    <col min="2" max="2" width="30.42578125" customWidth="1"/>
    <col min="3" max="3" width="93.140625" customWidth="1"/>
    <col min="4" max="4" width="24.140625" customWidth="1"/>
    <col min="5" max="5" width="16.5703125" customWidth="1"/>
  </cols>
  <sheetData>
    <row r="1" spans="2:4" ht="112.5" customHeight="1">
      <c r="B1" t="s">
        <v>1419</v>
      </c>
      <c r="C1" s="1" t="s">
        <v>1420</v>
      </c>
      <c r="D1" t="s">
        <v>1421</v>
      </c>
    </row>
    <row r="2" spans="2:4">
      <c r="B2" t="s">
        <v>1422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election activeCell="M18" sqref="M18"/>
    </sheetView>
  </sheetViews>
  <sheetFormatPr defaultRowHeight="15"/>
  <sheetData>
    <row r="1" spans="1:1">
      <c r="A1" t="s">
        <v>1423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40"/>
  <sheetViews>
    <sheetView workbookViewId="0">
      <pane ySplit="2" topLeftCell="G8" activePane="bottomLeft" state="frozen"/>
      <selection pane="bottomLeft" activeCell="J3" sqref="J3:J14"/>
    </sheetView>
  </sheetViews>
  <sheetFormatPr defaultRowHeight="15"/>
  <cols>
    <col min="1" max="1" width="10.85546875" style="3" customWidth="1"/>
    <col min="2" max="2" width="53.5703125" style="3" customWidth="1"/>
    <col min="3" max="3" width="28.28515625" style="3" hidden="1" customWidth="1"/>
    <col min="4" max="4" width="20.5703125" style="3" hidden="1" customWidth="1"/>
    <col min="5" max="5" width="17.140625" style="3" hidden="1" customWidth="1"/>
    <col min="6" max="6" width="50.7109375" style="3" customWidth="1"/>
    <col min="7" max="7" width="55.42578125" style="3" customWidth="1"/>
    <col min="8" max="8" width="24.42578125" style="3" hidden="1" customWidth="1"/>
    <col min="9" max="9" width="53.42578125" style="16" customWidth="1"/>
    <col min="10" max="10" width="14.85546875" style="3" customWidth="1"/>
    <col min="11" max="11" width="18.85546875" style="3" hidden="1" customWidth="1"/>
    <col min="12" max="12" width="23" style="3" hidden="1" customWidth="1"/>
    <col min="13" max="13" width="9.140625" style="3" customWidth="1"/>
    <col min="14" max="16384" width="9.140625" style="3"/>
  </cols>
  <sheetData>
    <row r="1" spans="1:12">
      <c r="A1" s="3">
        <f>COUNT(A3:A40)</f>
        <v>38</v>
      </c>
      <c r="B1" s="3" t="s">
        <v>127</v>
      </c>
    </row>
    <row r="2" spans="1:12" ht="26.25" customHeight="1">
      <c r="A2" s="76" t="s">
        <v>18</v>
      </c>
      <c r="B2" s="76" t="s">
        <v>339</v>
      </c>
      <c r="C2" s="76" t="s">
        <v>20</v>
      </c>
      <c r="D2" s="76" t="s">
        <v>128</v>
      </c>
      <c r="E2" s="76" t="s">
        <v>773</v>
      </c>
      <c r="F2" s="76" t="s">
        <v>21</v>
      </c>
      <c r="G2" s="76" t="s">
        <v>22</v>
      </c>
      <c r="H2" s="76" t="s">
        <v>340</v>
      </c>
      <c r="I2" s="60" t="s">
        <v>24</v>
      </c>
      <c r="J2" s="76" t="s">
        <v>0</v>
      </c>
      <c r="K2" s="76" t="s">
        <v>341</v>
      </c>
      <c r="L2" s="3" t="s">
        <v>131</v>
      </c>
    </row>
    <row r="3" spans="1:12" ht="26.25" customHeight="1">
      <c r="A3" s="3">
        <v>1</v>
      </c>
      <c r="B3" s="136" t="s">
        <v>1424</v>
      </c>
      <c r="C3" s="136" t="s">
        <v>1057</v>
      </c>
      <c r="D3" s="136" t="s">
        <v>1425</v>
      </c>
      <c r="E3" s="42" t="s">
        <v>135</v>
      </c>
      <c r="F3" s="164" t="s">
        <v>1426</v>
      </c>
      <c r="G3" s="3" t="s">
        <v>1427</v>
      </c>
      <c r="I3" s="16" t="s">
        <v>1428</v>
      </c>
      <c r="J3" s="3" t="s">
        <v>8</v>
      </c>
      <c r="L3" s="77" t="s">
        <v>873</v>
      </c>
    </row>
    <row r="4" spans="1:12" ht="26.25" customHeight="1">
      <c r="A4" s="3">
        <v>2</v>
      </c>
      <c r="B4" s="179"/>
      <c r="C4" s="179"/>
      <c r="D4" s="179"/>
      <c r="E4" s="42" t="s">
        <v>135</v>
      </c>
      <c r="F4" s="179"/>
      <c r="G4" s="3" t="s">
        <v>1429</v>
      </c>
      <c r="J4" s="3" t="s">
        <v>8</v>
      </c>
      <c r="L4" s="77"/>
    </row>
    <row r="5" spans="1:12" ht="69" customHeight="1">
      <c r="A5" s="3">
        <v>3</v>
      </c>
      <c r="B5" s="136" t="s">
        <v>1430</v>
      </c>
      <c r="C5" s="136" t="s">
        <v>1057</v>
      </c>
      <c r="D5" s="136" t="s">
        <v>1425</v>
      </c>
      <c r="E5" s="42" t="s">
        <v>135</v>
      </c>
      <c r="F5" s="164" t="s">
        <v>1431</v>
      </c>
      <c r="G5" s="3" t="s">
        <v>1427</v>
      </c>
      <c r="H5" s="136"/>
      <c r="I5" s="164" t="s">
        <v>1432</v>
      </c>
      <c r="J5" s="3" t="s">
        <v>8</v>
      </c>
      <c r="K5" s="136"/>
      <c r="L5" s="180" t="s">
        <v>918</v>
      </c>
    </row>
    <row r="6" spans="1:12">
      <c r="A6" s="3">
        <v>4</v>
      </c>
      <c r="B6" s="179"/>
      <c r="C6" s="179"/>
      <c r="D6" s="179"/>
      <c r="E6" s="42" t="s">
        <v>135</v>
      </c>
      <c r="F6" s="179"/>
      <c r="G6" s="3" t="s">
        <v>1429</v>
      </c>
      <c r="H6" s="179"/>
      <c r="I6" s="164"/>
      <c r="J6" s="3" t="s">
        <v>8</v>
      </c>
      <c r="K6" s="179"/>
      <c r="L6" s="179"/>
    </row>
    <row r="7" spans="1:12" ht="45.75" customHeight="1">
      <c r="A7" s="3">
        <v>5</v>
      </c>
      <c r="B7" s="179"/>
      <c r="C7" s="136" t="s">
        <v>1057</v>
      </c>
      <c r="E7" s="3" t="s">
        <v>167</v>
      </c>
      <c r="G7" s="3" t="s">
        <v>1433</v>
      </c>
      <c r="I7" s="16" t="s">
        <v>1434</v>
      </c>
      <c r="J7" s="3" t="s">
        <v>8</v>
      </c>
    </row>
    <row r="8" spans="1:12" ht="60.75" customHeight="1">
      <c r="A8" s="3">
        <v>6</v>
      </c>
      <c r="B8" s="179"/>
      <c r="C8" s="179"/>
      <c r="E8" s="3" t="s">
        <v>167</v>
      </c>
      <c r="G8" s="3" t="s">
        <v>1435</v>
      </c>
      <c r="I8" s="16" t="s">
        <v>1436</v>
      </c>
      <c r="J8" s="3" t="s">
        <v>8</v>
      </c>
    </row>
    <row r="9" spans="1:12" ht="60.75" customHeight="1">
      <c r="A9" s="3">
        <v>7</v>
      </c>
      <c r="B9" s="179"/>
      <c r="C9" s="136" t="s">
        <v>1057</v>
      </c>
      <c r="E9" s="3" t="s">
        <v>167</v>
      </c>
      <c r="G9" s="3" t="s">
        <v>1437</v>
      </c>
      <c r="I9" s="16" t="s">
        <v>1438</v>
      </c>
      <c r="J9" s="3" t="s">
        <v>8</v>
      </c>
    </row>
    <row r="10" spans="1:12" ht="45.75" customHeight="1">
      <c r="A10" s="3">
        <v>8</v>
      </c>
      <c r="B10" s="179" t="s">
        <v>1439</v>
      </c>
      <c r="C10" s="179"/>
      <c r="E10" s="3" t="s">
        <v>167</v>
      </c>
      <c r="F10" s="164" t="s">
        <v>1431</v>
      </c>
      <c r="G10" s="3" t="s">
        <v>1427</v>
      </c>
      <c r="H10" s="136"/>
      <c r="I10" s="164" t="s">
        <v>1432</v>
      </c>
      <c r="J10" s="3" t="s">
        <v>8</v>
      </c>
    </row>
    <row r="11" spans="1:12">
      <c r="A11" s="3">
        <v>9</v>
      </c>
      <c r="B11" s="179"/>
      <c r="C11" s="136" t="s">
        <v>1057</v>
      </c>
      <c r="E11" s="3" t="s">
        <v>167</v>
      </c>
      <c r="F11" s="179"/>
      <c r="G11" s="3" t="s">
        <v>1429</v>
      </c>
      <c r="H11" s="179"/>
      <c r="I11" s="164"/>
      <c r="J11" s="3" t="s">
        <v>8</v>
      </c>
    </row>
    <row r="12" spans="1:12" ht="45.75" customHeight="1">
      <c r="A12" s="3">
        <v>10</v>
      </c>
      <c r="B12" s="179"/>
      <c r="C12" s="179"/>
      <c r="E12" s="3" t="s">
        <v>167</v>
      </c>
      <c r="G12" s="3" t="s">
        <v>1433</v>
      </c>
      <c r="I12" s="16" t="s">
        <v>1434</v>
      </c>
      <c r="J12" s="3" t="s">
        <v>8</v>
      </c>
    </row>
    <row r="13" spans="1:12" ht="60.75" customHeight="1">
      <c r="A13" s="3">
        <v>11</v>
      </c>
      <c r="B13" s="179"/>
      <c r="C13" s="136" t="s">
        <v>1057</v>
      </c>
      <c r="E13" s="3" t="s">
        <v>167</v>
      </c>
      <c r="G13" s="3" t="s">
        <v>1435</v>
      </c>
      <c r="I13" s="16" t="s">
        <v>1436</v>
      </c>
      <c r="J13" s="3" t="s">
        <v>8</v>
      </c>
    </row>
    <row r="14" spans="1:12" ht="60.75" customHeight="1">
      <c r="A14" s="3">
        <v>12</v>
      </c>
      <c r="B14" s="179"/>
      <c r="C14" s="179"/>
      <c r="E14" s="3" t="s">
        <v>167</v>
      </c>
      <c r="G14" s="3" t="s">
        <v>1437</v>
      </c>
      <c r="I14" s="16" t="s">
        <v>1438</v>
      </c>
      <c r="J14" s="3" t="s">
        <v>8</v>
      </c>
    </row>
    <row r="15" spans="1:12">
      <c r="A15" s="3">
        <v>13</v>
      </c>
      <c r="B15" s="179"/>
      <c r="C15" s="42"/>
      <c r="E15" s="3" t="s">
        <v>167</v>
      </c>
      <c r="G15" s="3" t="s">
        <v>1440</v>
      </c>
      <c r="I15" s="16" t="s">
        <v>1441</v>
      </c>
      <c r="J15" s="3" t="s">
        <v>12</v>
      </c>
    </row>
    <row r="16" spans="1:12" ht="45.75" customHeight="1">
      <c r="A16" s="3">
        <v>14</v>
      </c>
      <c r="B16" s="179"/>
      <c r="C16" s="136" t="s">
        <v>1057</v>
      </c>
      <c r="E16" s="3" t="s">
        <v>167</v>
      </c>
      <c r="G16" s="3" t="s">
        <v>1442</v>
      </c>
      <c r="I16" s="16" t="s">
        <v>1443</v>
      </c>
      <c r="J16" s="3" t="s">
        <v>12</v>
      </c>
    </row>
    <row r="17" spans="1:10" ht="45.75" customHeight="1">
      <c r="A17" s="3">
        <v>15</v>
      </c>
      <c r="B17" s="179"/>
      <c r="C17" s="179"/>
      <c r="E17" s="3" t="s">
        <v>167</v>
      </c>
      <c r="G17" s="3" t="s">
        <v>1444</v>
      </c>
      <c r="I17" s="16" t="s">
        <v>1445</v>
      </c>
      <c r="J17" s="3" t="s">
        <v>12</v>
      </c>
    </row>
    <row r="18" spans="1:10" ht="30.75" customHeight="1">
      <c r="A18" s="3">
        <v>16</v>
      </c>
      <c r="B18" s="3" t="s">
        <v>1446</v>
      </c>
      <c r="C18" s="136" t="s">
        <v>1057</v>
      </c>
      <c r="D18" s="3" t="s">
        <v>1447</v>
      </c>
      <c r="E18" s="3" t="s">
        <v>167</v>
      </c>
      <c r="F18" s="3" t="s">
        <v>1448</v>
      </c>
      <c r="J18" s="3" t="s">
        <v>12</v>
      </c>
    </row>
    <row r="19" spans="1:10" ht="50.25" customHeight="1">
      <c r="A19" s="3">
        <v>17</v>
      </c>
      <c r="B19" s="3" t="s">
        <v>1449</v>
      </c>
      <c r="C19" s="179"/>
      <c r="D19" s="3" t="s">
        <v>1450</v>
      </c>
      <c r="E19" s="3" t="s">
        <v>167</v>
      </c>
      <c r="F19" s="3" t="s">
        <v>1451</v>
      </c>
      <c r="J19" s="3" t="s">
        <v>12</v>
      </c>
    </row>
    <row r="20" spans="1:10" ht="45" customHeight="1">
      <c r="A20" s="3">
        <v>18</v>
      </c>
      <c r="B20" s="3" t="s">
        <v>1452</v>
      </c>
      <c r="C20" s="136" t="s">
        <v>1057</v>
      </c>
      <c r="E20" s="3" t="s">
        <v>167</v>
      </c>
      <c r="F20" s="3" t="s">
        <v>1453</v>
      </c>
      <c r="J20" s="3" t="s">
        <v>12</v>
      </c>
    </row>
    <row r="21" spans="1:10" ht="30.75" customHeight="1">
      <c r="A21" s="3">
        <v>19</v>
      </c>
      <c r="B21" s="3" t="s">
        <v>1454</v>
      </c>
      <c r="C21" s="179"/>
      <c r="F21" s="3" t="s">
        <v>1455</v>
      </c>
      <c r="J21" s="3" t="s">
        <v>12</v>
      </c>
    </row>
    <row r="22" spans="1:10" ht="30.75" customHeight="1">
      <c r="A22" s="3">
        <v>20</v>
      </c>
      <c r="B22" s="3" t="s">
        <v>1456</v>
      </c>
      <c r="C22" s="136" t="s">
        <v>1057</v>
      </c>
      <c r="F22" s="3" t="s">
        <v>1457</v>
      </c>
      <c r="J22" s="3" t="s">
        <v>12</v>
      </c>
    </row>
    <row r="23" spans="1:10" ht="30.75" customHeight="1">
      <c r="A23" s="3">
        <v>21</v>
      </c>
      <c r="B23" s="3" t="s">
        <v>1458</v>
      </c>
      <c r="C23" s="179"/>
      <c r="J23" s="3" t="s">
        <v>12</v>
      </c>
    </row>
    <row r="24" spans="1:10" ht="60.75">
      <c r="A24" s="3">
        <v>22</v>
      </c>
      <c r="B24" s="3" t="s">
        <v>1459</v>
      </c>
      <c r="F24" s="3" t="s">
        <v>1431</v>
      </c>
      <c r="G24" s="3" t="s">
        <v>1460</v>
      </c>
      <c r="J24" s="3" t="s">
        <v>12</v>
      </c>
    </row>
    <row r="25" spans="1:10" ht="30.75">
      <c r="A25" s="3">
        <v>23</v>
      </c>
      <c r="G25" s="3" t="s">
        <v>1461</v>
      </c>
      <c r="I25" s="16" t="s">
        <v>1432</v>
      </c>
      <c r="J25" s="3" t="s">
        <v>12</v>
      </c>
    </row>
    <row r="26" spans="1:10" ht="45.75">
      <c r="A26" s="3">
        <v>24</v>
      </c>
      <c r="G26" s="3" t="s">
        <v>1462</v>
      </c>
      <c r="I26" s="16" t="s">
        <v>1463</v>
      </c>
      <c r="J26" s="3" t="s">
        <v>12</v>
      </c>
    </row>
    <row r="27" spans="1:10" ht="45.75">
      <c r="A27" s="3">
        <v>25</v>
      </c>
      <c r="G27" s="3" t="s">
        <v>1435</v>
      </c>
      <c r="I27" s="16" t="s">
        <v>1464</v>
      </c>
      <c r="J27" s="3" t="s">
        <v>12</v>
      </c>
    </row>
    <row r="28" spans="1:10">
      <c r="A28" s="3">
        <v>26</v>
      </c>
      <c r="G28" s="3" t="s">
        <v>1465</v>
      </c>
      <c r="I28" s="16" t="s">
        <v>1466</v>
      </c>
      <c r="J28" s="3" t="s">
        <v>12</v>
      </c>
    </row>
    <row r="29" spans="1:10" ht="45.75">
      <c r="A29" s="3">
        <v>27</v>
      </c>
      <c r="G29" s="3" t="s">
        <v>1467</v>
      </c>
      <c r="I29" s="16" t="s">
        <v>1464</v>
      </c>
      <c r="J29" s="3" t="s">
        <v>12</v>
      </c>
    </row>
    <row r="30" spans="1:10" ht="45.75">
      <c r="A30" s="3">
        <v>28</v>
      </c>
      <c r="G30" s="3" t="s">
        <v>1468</v>
      </c>
      <c r="I30" s="16" t="s">
        <v>1469</v>
      </c>
      <c r="J30" s="3" t="s">
        <v>12</v>
      </c>
    </row>
    <row r="31" spans="1:10" ht="30.75">
      <c r="A31" s="3">
        <v>29</v>
      </c>
      <c r="B31" s="3" t="s">
        <v>1470</v>
      </c>
      <c r="G31" s="3" t="s">
        <v>1471</v>
      </c>
      <c r="J31" s="3" t="s">
        <v>12</v>
      </c>
    </row>
    <row r="32" spans="1:10" ht="30.75">
      <c r="A32" s="3">
        <v>30</v>
      </c>
      <c r="B32" s="3" t="s">
        <v>1470</v>
      </c>
      <c r="G32" s="3" t="s">
        <v>1472</v>
      </c>
      <c r="I32" s="16" t="s">
        <v>1473</v>
      </c>
      <c r="J32" s="3" t="s">
        <v>12</v>
      </c>
    </row>
    <row r="33" spans="1:10">
      <c r="A33" s="3">
        <v>31</v>
      </c>
      <c r="B33" s="3" t="s">
        <v>1474</v>
      </c>
      <c r="G33" s="3" t="s">
        <v>1475</v>
      </c>
      <c r="I33" s="16" t="s">
        <v>927</v>
      </c>
      <c r="J33" s="3" t="s">
        <v>12</v>
      </c>
    </row>
    <row r="34" spans="1:10">
      <c r="A34" s="3">
        <v>32</v>
      </c>
      <c r="B34" s="3" t="s">
        <v>1474</v>
      </c>
      <c r="G34" s="3" t="s">
        <v>1476</v>
      </c>
      <c r="I34" s="16" t="s">
        <v>1477</v>
      </c>
      <c r="J34" s="3" t="s">
        <v>12</v>
      </c>
    </row>
    <row r="35" spans="1:10">
      <c r="A35" s="3">
        <v>33</v>
      </c>
      <c r="B35" s="3" t="s">
        <v>1474</v>
      </c>
      <c r="G35" s="3" t="s">
        <v>1478</v>
      </c>
      <c r="I35" s="16" t="s">
        <v>1479</v>
      </c>
      <c r="J35" s="3" t="s">
        <v>12</v>
      </c>
    </row>
    <row r="36" spans="1:10" ht="30.75">
      <c r="A36" s="3">
        <v>34</v>
      </c>
      <c r="B36" s="3" t="s">
        <v>1480</v>
      </c>
      <c r="G36" s="3" t="s">
        <v>1475</v>
      </c>
      <c r="I36" s="16" t="s">
        <v>927</v>
      </c>
      <c r="J36" s="3" t="s">
        <v>12</v>
      </c>
    </row>
    <row r="37" spans="1:10" ht="30.75">
      <c r="A37" s="3">
        <v>35</v>
      </c>
      <c r="B37" s="3" t="s">
        <v>1480</v>
      </c>
      <c r="G37" s="3" t="s">
        <v>1476</v>
      </c>
      <c r="I37" s="16" t="s">
        <v>1477</v>
      </c>
      <c r="J37" s="3" t="s">
        <v>12</v>
      </c>
    </row>
    <row r="38" spans="1:10" ht="30.75">
      <c r="A38" s="3">
        <v>36</v>
      </c>
      <c r="B38" s="3" t="s">
        <v>1480</v>
      </c>
      <c r="G38" s="3" t="s">
        <v>1481</v>
      </c>
      <c r="I38" s="16" t="s">
        <v>1482</v>
      </c>
      <c r="J38" s="3" t="s">
        <v>12</v>
      </c>
    </row>
    <row r="39" spans="1:10" ht="30.75">
      <c r="A39" s="3">
        <v>37</v>
      </c>
      <c r="B39" s="3" t="s">
        <v>1483</v>
      </c>
      <c r="G39" s="3" t="s">
        <v>1476</v>
      </c>
      <c r="J39" s="3" t="s">
        <v>12</v>
      </c>
    </row>
    <row r="40" spans="1:10" ht="30.75">
      <c r="A40" s="3">
        <v>38</v>
      </c>
      <c r="B40" s="3" t="s">
        <v>1483</v>
      </c>
      <c r="G40" s="3" t="s">
        <v>1484</v>
      </c>
      <c r="I40" s="16" t="s">
        <v>1485</v>
      </c>
      <c r="J40" s="3" t="s">
        <v>12</v>
      </c>
    </row>
  </sheetData>
  <mergeCells count="24">
    <mergeCell ref="C22:C23"/>
    <mergeCell ref="L5:L6"/>
    <mergeCell ref="C9:C10"/>
    <mergeCell ref="H10:H11"/>
    <mergeCell ref="D3:D4"/>
    <mergeCell ref="C11:C12"/>
    <mergeCell ref="I5:I6"/>
    <mergeCell ref="C7:C8"/>
    <mergeCell ref="I10:I11"/>
    <mergeCell ref="C13:C14"/>
    <mergeCell ref="D5:D6"/>
    <mergeCell ref="H5:H6"/>
    <mergeCell ref="C3:C4"/>
    <mergeCell ref="C18:C19"/>
    <mergeCell ref="F10:F11"/>
    <mergeCell ref="K5:K6"/>
    <mergeCell ref="C20:C21"/>
    <mergeCell ref="B3:B4"/>
    <mergeCell ref="F3:F4"/>
    <mergeCell ref="F5:F6"/>
    <mergeCell ref="C16:C17"/>
    <mergeCell ref="B5:B9"/>
    <mergeCell ref="B10:B17"/>
    <mergeCell ref="C5:C6"/>
  </mergeCells>
  <dataValidations count="1">
    <dataValidation type="list" allowBlank="1" showInputMessage="1" showErrorMessage="1" sqref="J3:J40" xr:uid="{00000000-0002-0000-0D00-000000000000}">
      <formula1>"In Design, Ready, Reviewed Completed, Pass, Fail, Blocked, No Run"</formula1>
    </dataValidation>
  </dataValidations>
  <hyperlinks>
    <hyperlink ref="L3" r:id="rId1" xr:uid="{00000000-0004-0000-0D00-000000000000}"/>
    <hyperlink ref="L5" r:id="rId2" xr:uid="{00000000-0004-0000-0D00-000001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F11"/>
  <sheetViews>
    <sheetView workbookViewId="0">
      <selection activeCell="C3" sqref="C3"/>
    </sheetView>
  </sheetViews>
  <sheetFormatPr defaultRowHeight="15"/>
  <cols>
    <col min="2" max="2" width="30.140625" customWidth="1"/>
    <col min="3" max="3" width="29.85546875" customWidth="1"/>
    <col min="4" max="4" width="26.7109375" customWidth="1"/>
    <col min="5" max="5" width="23.42578125" customWidth="1"/>
    <col min="6" max="6" width="26.42578125" customWidth="1"/>
  </cols>
  <sheetData>
    <row r="1" spans="2:6">
      <c r="C1" s="36">
        <v>46077</v>
      </c>
      <c r="D1" t="s">
        <v>1486</v>
      </c>
      <c r="E1" t="s">
        <v>1487</v>
      </c>
      <c r="F1" t="s">
        <v>1488</v>
      </c>
    </row>
    <row r="2" spans="2:6">
      <c r="B2" s="18" t="s">
        <v>1039</v>
      </c>
    </row>
    <row r="3" spans="2:6">
      <c r="B3" s="29" t="s">
        <v>342</v>
      </c>
    </row>
    <row r="4" spans="2:6">
      <c r="B4" s="29" t="s">
        <v>1051</v>
      </c>
    </row>
    <row r="5" spans="2:6">
      <c r="B5" s="29" t="s">
        <v>1052</v>
      </c>
    </row>
    <row r="6" spans="2:6">
      <c r="B6" s="29" t="s">
        <v>1053</v>
      </c>
    </row>
    <row r="7" spans="2:6">
      <c r="B7" s="29" t="s">
        <v>133</v>
      </c>
    </row>
    <row r="8" spans="2:6">
      <c r="B8" s="29" t="s">
        <v>1054</v>
      </c>
    </row>
    <row r="9" spans="2:6">
      <c r="B9" s="29" t="s">
        <v>1055</v>
      </c>
    </row>
    <row r="10" spans="2:6">
      <c r="B10" s="29" t="s">
        <v>1489</v>
      </c>
    </row>
    <row r="11" spans="2:6">
      <c r="B11" s="29" t="s">
        <v>1057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C7" sqref="C7"/>
    </sheetView>
  </sheetViews>
  <sheetFormatPr defaultRowHeight="15"/>
  <cols>
    <col min="2" max="2" width="16" customWidth="1"/>
    <col min="3" max="3" width="18.42578125" customWidth="1"/>
  </cols>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B9582-91C5-42B0-9C38-081BE0364A61}">
  <dimension ref="B1:M28"/>
  <sheetViews>
    <sheetView showGridLines="0" zoomScale="145" zoomScaleNormal="145" workbookViewId="0">
      <selection activeCell="H10" sqref="H10"/>
    </sheetView>
  </sheetViews>
  <sheetFormatPr defaultRowHeight="15"/>
  <cols>
    <col min="1" max="1" width="5.28515625" customWidth="1"/>
    <col min="2" max="2" width="16.28515625" customWidth="1"/>
    <col min="3" max="4" width="17" customWidth="1"/>
    <col min="5" max="5" width="35" customWidth="1"/>
    <col min="6" max="6" width="12.7109375" customWidth="1"/>
    <col min="7" max="7" width="23.140625" customWidth="1"/>
    <col min="8" max="8" width="20.28515625" customWidth="1"/>
    <col min="9" max="9" width="30.5703125" customWidth="1"/>
    <col min="10" max="10" width="29.28515625" customWidth="1"/>
    <col min="11" max="11" width="16.28515625" customWidth="1"/>
    <col min="12" max="12" width="13" customWidth="1"/>
    <col min="13" max="13" width="11.28515625" customWidth="1"/>
  </cols>
  <sheetData>
    <row r="1" spans="2:13" s="78" customFormat="1" ht="27" customHeight="1">
      <c r="B1" s="101" t="s">
        <v>1490</v>
      </c>
      <c r="C1" s="102"/>
      <c r="D1" s="102"/>
      <c r="E1" s="103"/>
      <c r="F1" s="103"/>
    </row>
    <row r="2" spans="2:13" ht="22.5" customHeight="1">
      <c r="B2" s="104"/>
      <c r="C2" s="105"/>
      <c r="D2" s="105"/>
      <c r="E2" s="105"/>
      <c r="F2" s="105"/>
      <c r="G2" s="106"/>
      <c r="H2" s="107"/>
    </row>
    <row r="3" spans="2:13" ht="6" customHeight="1"/>
    <row r="4" spans="2:13">
      <c r="B4" s="108" t="s">
        <v>1491</v>
      </c>
      <c r="C4" s="108" t="s">
        <v>1492</v>
      </c>
      <c r="D4" s="108" t="s">
        <v>1493</v>
      </c>
      <c r="E4" s="108" t="s">
        <v>1494</v>
      </c>
      <c r="F4" s="108" t="s">
        <v>341</v>
      </c>
      <c r="G4" s="108" t="s">
        <v>0</v>
      </c>
      <c r="H4" s="108" t="s">
        <v>1495</v>
      </c>
      <c r="I4" s="108" t="s">
        <v>1496</v>
      </c>
      <c r="K4" s="109" t="s">
        <v>1497</v>
      </c>
      <c r="L4" s="109" t="s">
        <v>341</v>
      </c>
      <c r="M4" s="110" t="s">
        <v>1498</v>
      </c>
    </row>
    <row r="5" spans="2:13">
      <c r="B5" s="111">
        <v>1</v>
      </c>
      <c r="C5" s="112">
        <v>46052</v>
      </c>
      <c r="D5" s="112">
        <v>46082</v>
      </c>
      <c r="E5" s="113" t="s">
        <v>1499</v>
      </c>
      <c r="F5" s="113" t="s">
        <v>1500</v>
      </c>
      <c r="G5" s="113" t="s">
        <v>1501</v>
      </c>
      <c r="H5" s="120">
        <v>0.7</v>
      </c>
      <c r="I5" t="s">
        <v>1502</v>
      </c>
      <c r="K5" s="114" t="s">
        <v>1503</v>
      </c>
      <c r="L5" s="115" t="s">
        <v>1500</v>
      </c>
      <c r="M5" s="116">
        <v>5</v>
      </c>
    </row>
    <row r="6" spans="2:13">
      <c r="B6" s="117">
        <v>3</v>
      </c>
      <c r="C6" s="112">
        <v>46047</v>
      </c>
      <c r="D6" s="112">
        <v>46082</v>
      </c>
      <c r="E6" s="118" t="s">
        <v>1504</v>
      </c>
      <c r="F6" s="113" t="s">
        <v>1500</v>
      </c>
      <c r="G6" s="113" t="s">
        <v>1501</v>
      </c>
      <c r="H6" s="120">
        <v>0.7</v>
      </c>
      <c r="I6" t="s">
        <v>1505</v>
      </c>
      <c r="K6" s="114" t="s">
        <v>1501</v>
      </c>
      <c r="L6" s="115" t="s">
        <v>726</v>
      </c>
      <c r="M6" s="116">
        <v>3</v>
      </c>
    </row>
    <row r="7" spans="2:13">
      <c r="B7" s="117">
        <v>4</v>
      </c>
      <c r="C7" s="112">
        <v>46048</v>
      </c>
      <c r="D7" s="112">
        <v>46082</v>
      </c>
      <c r="E7" s="118" t="s">
        <v>1506</v>
      </c>
      <c r="F7" s="113" t="s">
        <v>1500</v>
      </c>
      <c r="G7" s="113" t="s">
        <v>1501</v>
      </c>
      <c r="H7" s="120">
        <v>0.7</v>
      </c>
      <c r="I7" t="s">
        <v>1507</v>
      </c>
      <c r="K7" s="114" t="s">
        <v>1508</v>
      </c>
      <c r="L7" s="115" t="s">
        <v>1509</v>
      </c>
      <c r="M7" s="116">
        <v>1</v>
      </c>
    </row>
    <row r="8" spans="2:13">
      <c r="B8" s="117">
        <v>5</v>
      </c>
      <c r="C8" s="112">
        <v>46047</v>
      </c>
      <c r="D8" s="112">
        <v>46082</v>
      </c>
      <c r="E8" s="118" t="s">
        <v>1510</v>
      </c>
      <c r="F8" s="113" t="s">
        <v>1500</v>
      </c>
      <c r="G8" s="113" t="s">
        <v>1501</v>
      </c>
      <c r="H8" s="120">
        <v>0.7</v>
      </c>
      <c r="I8" t="s">
        <v>1511</v>
      </c>
    </row>
    <row r="9" spans="2:13">
      <c r="B9" s="117">
        <v>6</v>
      </c>
      <c r="C9" s="112">
        <v>46047</v>
      </c>
      <c r="D9" s="112">
        <v>46082</v>
      </c>
      <c r="E9" s="118" t="s">
        <v>1053</v>
      </c>
      <c r="F9" s="113" t="s">
        <v>1500</v>
      </c>
      <c r="G9" s="113" t="s">
        <v>1501</v>
      </c>
      <c r="H9" s="120">
        <v>0.7</v>
      </c>
      <c r="I9" t="s">
        <v>1512</v>
      </c>
      <c r="K9" s="114" t="s">
        <v>1513</v>
      </c>
      <c r="L9" s="119">
        <f>COUNTIF($E$5:$E$28,"&lt;&gt;")</f>
        <v>10</v>
      </c>
    </row>
    <row r="10" spans="2:13">
      <c r="B10" s="117">
        <v>7</v>
      </c>
      <c r="C10" s="112">
        <v>46047</v>
      </c>
      <c r="D10" s="112">
        <v>46082</v>
      </c>
      <c r="E10" s="118" t="s">
        <v>1051</v>
      </c>
      <c r="F10" s="113" t="s">
        <v>1500</v>
      </c>
      <c r="G10" s="113" t="s">
        <v>1501</v>
      </c>
      <c r="H10" s="120">
        <v>0.7</v>
      </c>
      <c r="I10" t="s">
        <v>1512</v>
      </c>
      <c r="K10" s="114" t="s">
        <v>1514</v>
      </c>
      <c r="L10" s="119">
        <f>COUNTIFS($F$5:$F$28,$L$5,$G$5:$G$28,$K$5)*$M$5+COUNTIFS($F$5:$F$28,$L$6,$G$5:$G$28,$K$5)*$M$6+COUNTIFS($F$5:$F$28,$L$7,$G$5:$G$28,$K$5)*$M$7</f>
        <v>20</v>
      </c>
    </row>
    <row r="11" spans="2:13">
      <c r="B11" s="117">
        <v>8</v>
      </c>
      <c r="C11" s="112">
        <v>46047</v>
      </c>
      <c r="D11" s="112">
        <v>46082</v>
      </c>
      <c r="E11" s="118" t="s">
        <v>1515</v>
      </c>
      <c r="F11" s="113" t="s">
        <v>1500</v>
      </c>
      <c r="G11" s="113" t="s">
        <v>1503</v>
      </c>
      <c r="H11" s="120">
        <v>1</v>
      </c>
      <c r="I11" t="s">
        <v>1507</v>
      </c>
      <c r="K11" s="114" t="s">
        <v>1516</v>
      </c>
      <c r="L11" s="119">
        <f>COUNTIF($F$5:$F$28,$L$5)*$M$5+COUNTIF($F$5:$F$28,$L$6)*$M$6+COUNTIF($F$5:$F$28,$L$7)*$M$7</f>
        <v>50</v>
      </c>
    </row>
    <row r="12" spans="2:13">
      <c r="B12" s="117">
        <v>9</v>
      </c>
      <c r="C12" s="112">
        <v>46047</v>
      </c>
      <c r="D12" s="112">
        <v>46082</v>
      </c>
      <c r="E12" s="118" t="s">
        <v>1517</v>
      </c>
      <c r="F12" s="113" t="s">
        <v>1500</v>
      </c>
      <c r="G12" s="113" t="s">
        <v>1503</v>
      </c>
      <c r="H12" s="120">
        <v>1</v>
      </c>
      <c r="I12" t="s">
        <v>1507</v>
      </c>
      <c r="K12" s="114" t="s">
        <v>1518</v>
      </c>
      <c r="L12" s="121">
        <f>IFERROR(L10/L11,0)</f>
        <v>0.4</v>
      </c>
    </row>
    <row r="13" spans="2:13">
      <c r="B13" s="117">
        <v>10</v>
      </c>
      <c r="C13" s="112">
        <v>46068</v>
      </c>
      <c r="D13" s="112">
        <v>46082</v>
      </c>
      <c r="E13" s="118" t="s">
        <v>1519</v>
      </c>
      <c r="F13" s="113" t="s">
        <v>1500</v>
      </c>
      <c r="G13" s="113" t="s">
        <v>1503</v>
      </c>
      <c r="H13" s="120">
        <v>1</v>
      </c>
      <c r="I13" t="s">
        <v>1507</v>
      </c>
    </row>
    <row r="14" spans="2:13">
      <c r="B14" s="117">
        <v>11</v>
      </c>
      <c r="C14" s="112">
        <v>46068</v>
      </c>
      <c r="D14" s="112">
        <v>46082</v>
      </c>
      <c r="E14" s="118" t="s">
        <v>1520</v>
      </c>
      <c r="F14" s="113" t="s">
        <v>1500</v>
      </c>
      <c r="G14" s="113" t="s">
        <v>1503</v>
      </c>
      <c r="H14" s="120">
        <v>1</v>
      </c>
      <c r="I14" t="s">
        <v>1507</v>
      </c>
      <c r="K14" s="114" t="s">
        <v>1514</v>
      </c>
      <c r="L14" s="119">
        <v>1</v>
      </c>
    </row>
    <row r="15" spans="2:13">
      <c r="B15" s="117"/>
      <c r="C15" s="112"/>
      <c r="D15" s="112"/>
      <c r="E15" s="118"/>
      <c r="F15" s="113"/>
      <c r="G15" s="113"/>
      <c r="H15" s="122"/>
      <c r="K15" s="114" t="s">
        <v>1516</v>
      </c>
      <c r="L15" s="119">
        <v>10</v>
      </c>
    </row>
    <row r="16" spans="2:13">
      <c r="B16" s="117"/>
      <c r="C16" s="112"/>
      <c r="D16" s="112"/>
      <c r="E16" s="118"/>
      <c r="F16" s="113"/>
      <c r="G16" s="113"/>
      <c r="H16" s="122"/>
      <c r="K16" s="114" t="s">
        <v>1518</v>
      </c>
      <c r="L16" s="121">
        <v>0.1</v>
      </c>
    </row>
    <row r="17" spans="2:12">
      <c r="B17" s="117"/>
      <c r="C17" s="112"/>
      <c r="D17" s="112"/>
      <c r="E17" s="118"/>
      <c r="F17" s="113"/>
      <c r="G17" s="113"/>
      <c r="H17" s="122"/>
    </row>
    <row r="18" spans="2:12">
      <c r="B18" s="117"/>
      <c r="C18" s="112"/>
      <c r="D18" s="112"/>
      <c r="E18" s="118"/>
      <c r="F18" s="113"/>
      <c r="G18" s="113"/>
      <c r="H18" s="122"/>
      <c r="K18" s="114" t="s">
        <v>1514</v>
      </c>
      <c r="L18" s="119">
        <v>1</v>
      </c>
    </row>
    <row r="19" spans="2:12">
      <c r="B19" s="117"/>
      <c r="C19" s="112"/>
      <c r="D19" s="112"/>
      <c r="E19" s="118"/>
      <c r="F19" s="113"/>
      <c r="G19" s="113"/>
      <c r="H19" s="122"/>
      <c r="K19" s="114" t="s">
        <v>1516</v>
      </c>
      <c r="L19" s="119">
        <v>10</v>
      </c>
    </row>
    <row r="20" spans="2:12">
      <c r="B20" s="117"/>
      <c r="C20" s="112"/>
      <c r="D20" s="112"/>
      <c r="E20" s="118"/>
      <c r="F20" s="113"/>
      <c r="G20" s="113"/>
      <c r="H20" s="122"/>
      <c r="K20" s="114" t="s">
        <v>1518</v>
      </c>
      <c r="L20" s="121">
        <v>0.1</v>
      </c>
    </row>
    <row r="21" spans="2:12">
      <c r="B21" s="117"/>
      <c r="C21" s="112"/>
      <c r="D21" s="112"/>
      <c r="E21" s="118"/>
      <c r="F21" s="113"/>
      <c r="G21" s="113"/>
      <c r="H21" s="122"/>
    </row>
    <row r="22" spans="2:12">
      <c r="B22" s="117"/>
      <c r="C22" s="112"/>
      <c r="D22" s="112"/>
      <c r="E22" s="118"/>
      <c r="F22" s="118"/>
      <c r="G22" s="113"/>
      <c r="H22" s="122"/>
    </row>
    <row r="23" spans="2:12">
      <c r="B23" s="117"/>
      <c r="C23" s="112"/>
      <c r="D23" s="112"/>
      <c r="E23" s="118"/>
      <c r="F23" s="118"/>
      <c r="G23" s="113"/>
      <c r="H23" s="122"/>
    </row>
    <row r="24" spans="2:12">
      <c r="B24" s="117"/>
      <c r="C24" s="112"/>
      <c r="D24" s="112"/>
      <c r="E24" s="118"/>
      <c r="F24" s="113"/>
      <c r="G24" s="113"/>
      <c r="H24" s="122"/>
    </row>
    <row r="25" spans="2:12">
      <c r="B25" s="117"/>
      <c r="C25" s="112"/>
      <c r="D25" s="112"/>
      <c r="E25" s="118"/>
      <c r="F25" s="118"/>
      <c r="G25" s="113"/>
      <c r="H25" s="122"/>
    </row>
    <row r="26" spans="2:12">
      <c r="B26" s="117"/>
      <c r="C26" s="112"/>
      <c r="D26" s="112"/>
      <c r="E26" s="118"/>
      <c r="F26" s="118"/>
      <c r="G26" s="113"/>
      <c r="H26" s="122"/>
    </row>
    <row r="27" spans="2:12">
      <c r="B27" s="117"/>
      <c r="C27" s="112"/>
      <c r="D27" s="112"/>
      <c r="E27" s="118"/>
      <c r="F27" s="118"/>
      <c r="G27" s="113"/>
      <c r="H27" s="122"/>
    </row>
    <row r="28" spans="2:12">
      <c r="B28" s="117"/>
      <c r="C28" s="112"/>
      <c r="D28" s="112"/>
      <c r="E28" s="118"/>
      <c r="F28" s="118"/>
      <c r="G28" s="113"/>
      <c r="H28" s="122"/>
    </row>
  </sheetData>
  <conditionalFormatting sqref="E5:E28">
    <cfRule type="expression" dxfId="4" priority="1">
      <formula>$G5="Completed"</formula>
    </cfRule>
  </conditionalFormatting>
  <conditionalFormatting sqref="G15:H28 G5:G14">
    <cfRule type="expression" dxfId="3" priority="2">
      <formula>AND($G5=$K$7,$E5&lt;&gt;"")</formula>
    </cfRule>
    <cfRule type="expression" dxfId="2" priority="3">
      <formula>AND($G5=$K$6,$E5&lt;&gt;"")</formula>
    </cfRule>
    <cfRule type="expression" dxfId="1" priority="5">
      <formula>AND($G5=$K$5,$E5&lt;&gt;"")</formula>
    </cfRule>
  </conditionalFormatting>
  <conditionalFormatting sqref="G8 G22:H22">
    <cfRule type="expression" dxfId="0" priority="4">
      <formula>AND($G5=$K$6,$E5&lt;&gt;"")</formula>
    </cfRule>
  </conditionalFormatting>
  <dataValidations count="2">
    <dataValidation type="list" allowBlank="1" showInputMessage="1" showErrorMessage="1" sqref="H15:H28 G5:G28" xr:uid="{9B6E5928-96D7-4E87-A7D6-0A17A2E4F9BF}">
      <formula1>$K$5:$K$7</formula1>
    </dataValidation>
    <dataValidation type="list" allowBlank="1" showInputMessage="1" showErrorMessage="1" sqref="F5:F28" xr:uid="{1A04F60B-E576-4A9F-9D1B-63C3B66E1F9E}">
      <formula1>$L$5:$L$7</formula1>
    </dataValidation>
  </dataValidations>
  <pageMargins left="0.7" right="0.7" top="0.75" bottom="0.75" header="0.3" footer="0.3"/>
  <pageSetup paperSize="9" orientation="portrait" horizontalDpi="1200" verticalDpi="120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3B6A2CF99E77449ADE3C0C2843AD2E" ma:contentTypeVersion="12" ma:contentTypeDescription="Create a new document." ma:contentTypeScope="" ma:versionID="1d806983d77742b29cb80f32bd7b6c3a">
  <xsd:schema xmlns:xsd="http://www.w3.org/2001/XMLSchema" xmlns:xs="http://www.w3.org/2001/XMLSchema" xmlns:p="http://schemas.microsoft.com/office/2006/metadata/properties" xmlns:ns2="4fb50e5f-a2c0-4be8-a959-463eaf825ff4" xmlns:ns3="6c9a2f3d-1bb0-4a62-9f6f-c73fec94a424" targetNamespace="http://schemas.microsoft.com/office/2006/metadata/properties" ma:root="true" ma:fieldsID="1a42239ddc3d59a586dc0f054fe08689" ns2:_="" ns3:_="">
    <xsd:import namespace="4fb50e5f-a2c0-4be8-a959-463eaf825ff4"/>
    <xsd:import namespace="6c9a2f3d-1bb0-4a62-9f6f-c73fec94a42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50e5f-a2c0-4be8-a959-463eaf825f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db4b46c-236d-4269-ae2a-2546add6861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c9a2f3d-1bb0-4a62-9f6f-c73fec94a42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6b2e22b-2b5a-43b5-9ac7-bf390f8be4ee}" ma:internalName="TaxCatchAll" ma:showField="CatchAllData" ma:web="6c9a2f3d-1bb0-4a62-9f6f-c73fec94a42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b50e5f-a2c0-4be8-a959-463eaf825ff4">
      <Terms xmlns="http://schemas.microsoft.com/office/infopath/2007/PartnerControls"/>
    </lcf76f155ced4ddcb4097134ff3c332f>
    <TaxCatchAll xmlns="6c9a2f3d-1bb0-4a62-9f6f-c73fec94a42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264D29-CC79-4048-95D6-E7DD0AAD7C03}"/>
</file>

<file path=customXml/itemProps2.xml><?xml version="1.0" encoding="utf-8"?>
<ds:datastoreItem xmlns:ds="http://schemas.openxmlformats.org/officeDocument/2006/customXml" ds:itemID="{111086B1-8295-4B2B-B33F-3EE6270E9DA5}"/>
</file>

<file path=customXml/itemProps3.xml><?xml version="1.0" encoding="utf-8"?>
<ds:datastoreItem xmlns:ds="http://schemas.openxmlformats.org/officeDocument/2006/customXml" ds:itemID="{25219253-E7E1-418C-840B-E91CA5D031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2026-01-27T16:47:48Z</dcterms:created>
  <dcterms:modified xsi:type="dcterms:W3CDTF">2026-03-04T17:52:52Z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0x010100863B6A2CF99E77449ADE3C0C2843AD2E</vt:lpwstr>
  </property>
  <property fmtid="{D5CDD505-2E9C-101B-9397-08002B2CF9AE}" pid="3" name="MediaServiceImageTags">
    <vt:lpwstr/>
  </property>
</Properties>
</file>